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FKorte\Documents\Städteszenarien\"/>
    </mc:Choice>
  </mc:AlternateContent>
  <xr:revisionPtr revIDLastSave="0" documentId="8_{4A4E815F-802B-4EAB-B93B-B790C9DE8627}" xr6:coauthVersionLast="47" xr6:coauthVersionMax="47" xr10:uidLastSave="{00000000-0000-0000-0000-000000000000}"/>
  <bookViews>
    <workbookView xWindow="-165" yWindow="-165" windowWidth="25530" windowHeight="15360" xr2:uid="{00000000-000D-0000-FFFF-FFFF00000000}"/>
  </bookViews>
  <sheets>
    <sheet name="Kriterien x Szenarien" sheetId="1" r:id="rId1"/>
    <sheet name="Szenarien x Städte" sheetId="3" r:id="rId2"/>
    <sheet name="EW ab 100k" sheetId="4" r:id="rId3"/>
  </sheets>
  <definedNames>
    <definedName name="_xlnm.Print_Area" localSheetId="0">'Kriterien x Szenarien'!$A:$A</definedName>
    <definedName name="_xlnm.Print_Area" localSheetId="1">'Szenarien x Städte'!$A:$A</definedName>
    <definedName name="_xlnm.Print_Titles" localSheetId="0">'Kriterien x Szenarien'!$A:$A</definedName>
    <definedName name="_xlnm.Print_Titles" localSheetId="1">'Szenarien x Städte'!$A:$A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4" l="1"/>
  <c r="I5" i="4"/>
  <c r="I6" i="4"/>
  <c r="I4" i="4"/>
  <c r="I3" i="4"/>
</calcChain>
</file>

<file path=xl/sharedStrings.xml><?xml version="1.0" encoding="utf-8"?>
<sst xmlns="http://schemas.openxmlformats.org/spreadsheetml/2006/main" count="372" uniqueCount="281">
  <si>
    <r>
      <t xml:space="preserve">S.39 </t>
    </r>
    <r>
      <rPr>
        <b/>
        <sz val="11"/>
        <color theme="1"/>
        <rFont val="Aptos Narrow"/>
        <family val="2"/>
        <scheme val="minor"/>
      </rPr>
      <t>11 Megashifts</t>
    </r>
  </si>
  <si>
    <t>SOCIAL</t>
  </si>
  <si>
    <t>Definition</t>
  </si>
  <si>
    <t>Treiber</t>
  </si>
  <si>
    <t>Szenario 1 - Stadt der Bürger</t>
  </si>
  <si>
    <t>Szenario 2 - geteilte Metropole</t>
  </si>
  <si>
    <t>Szenario 3- zuerst Natur</t>
  </si>
  <si>
    <t>Szenario 4 - urbaner Absgtieg</t>
  </si>
  <si>
    <t>Changing Urban Demographics</t>
  </si>
  <si>
    <t xml:space="preserve">Die städtische Demografie unterliegt tiefgreifenden und Alterung der Bevölkerung und verstärkte Migration </t>
  </si>
  <si>
    <t>Bevölkerungswachstum, Überalterung der Bevölkerung, Migration und Integration, Erschwinglicher Wohnraum - Herausforderungen, Kulturelle Vielfalt in städtischen Gebieten, Soziale Eingliederung in der Stadtplanung, Zugänglichkeit der Infrastruktur</t>
  </si>
  <si>
    <t>Die Städte verfolgen eine gerechte Politik, Gewährleistung von Zugänglichkeit, Integration und
wirtschaftliche Innovation trotz alternder der Bevölkerung.</t>
  </si>
  <si>
    <t>Die Städte kämpfen mit Einsamkeit,
unbezahlbarem Wohnraum und
und nicht nachhaltigen Praktiken, die die
soziale und wirtschaftliche Kluft.</t>
  </si>
  <si>
    <t>Städte setzen fortschrittliche Technologien ein
wie KI-gesteuerte Infrastruktur und autarke
Systeme zur Deckung aller
demografischen Bedürfnisse zu erfüllen.</t>
  </si>
  <si>
    <t>Die städtischen Systeme passen sich nicht an, was zu
hohe Arbeitslosenquoten,
Überbevölkerung und sozialer Ausgrenzung von
gefährdeter Gruppen.</t>
  </si>
  <si>
    <t>Lifestyle Changes in Urban Envirnoments</t>
  </si>
  <si>
    <t>Der städtische Lebensstil unterliegt einem erheblichen
Wandel, da sich die Wohnpräferenzen ändern und
nachhaltiges Wohnen zu einer Priorität wird.</t>
  </si>
  <si>
    <t>KI-gestützte personalisierte Dienste
Bewusstes Konsumverhalten
Aufschwung des Individualismus
Nachhaltiges Leben, Veränderte Wohnpräferenzen
Modulares und gemeinschaftliches Wohnen
Mehrgenerationen-Wohnen
Aufkommen der neuen Generationen</t>
  </si>
  <si>
    <t>Modulares und gemeinschaftliches Wohnen gedeihen,
fördern den sozialen Zusammenhalt, die Nachhaltigkeit,
und personalisierte städtische Dienstleistungen.</t>
  </si>
  <si>
    <t>Altersgerechte Infrastruktur bleibt unzureichend
unzureichend, die Migrantenbevölkerung steht
Barrieren, und soziale Spannungen nehmen zu.</t>
  </si>
  <si>
    <t>Städte erreichen lebendige, umweltfreundliche
Gemeinschaften durch modulares Wohnen,
gemeinsame Räume und vollständig personalisierte
Dienstleistungen.</t>
  </si>
  <si>
    <t>Modulares und gemeinschaftliches Wohnen scheitert
und die Bemühungen um Nachhaltigkeit stagnieren
unter den steigenden Kosten und der Zersiedelung der Landschaft.</t>
  </si>
  <si>
    <t>New Work and Education</t>
  </si>
  <si>
    <t>Der Wandel der traditionellen Arbeitsmodelle,
angetrieben durch flexible Arbeitszeiten, hybride Arrangements
und das Aufkommen des digitalen Nomadentums, verändert die Städte
und ihre Infrastrukturen</t>
  </si>
  <si>
    <t>Flexible Arbeitszeiten
Fernarbeit/Hybridarbeit
Flexible und kooperative Arbeitsräume
Der Aufstieg des digitalen Nomaden, Umverteilung der Wirtschaftstätigkeit
KI-gestützte Arbeit und Bildung
Ausbreitung des lebenslangen Lernens
Aufschwung der digitalen Bildung</t>
  </si>
  <si>
    <t>Die Städte passen sich teilweise an und bieten verbesserte
hybride Arbeitsräume und digitale
Bildung, aber die Herausforderungen bei der Inklusivität
bleiben bestehen.</t>
  </si>
  <si>
    <t>Urbane Gebiete balancieren abgelegene und hybride
Modelle mit zugänglichen Coworking
Räumen und Zentren für lebenslanges Lernen.</t>
  </si>
  <si>
    <t>Städtische Gebiete haben Mühe, die
dezentralisierte Arbeit und Bildung,
was zu ungleichem Zugang und
Ineffizienzen.</t>
  </si>
  <si>
    <t>TECHNOLOGICAL</t>
  </si>
  <si>
    <t>Smart City Technologies</t>
  </si>
  <si>
    <t>Intelligente Stadttechnologien definieren das städtische Leben neu
durch den Einsatz von IoT, KI und datengesteuerten Systemen zur
Infrastruktur, Energiemanagement und Immobilienlösungen
Immobilienlösungen.</t>
  </si>
  <si>
    <t>Intelligentes Energiemanagement
Internet der Dinge
Aufschwung von Daten und Konnektivität
Aufschwung der KI, Sensortechnik
Smart Homes
Fortschritte in der Immobilienverwaltung
Nachfrage nach vorausschauender Wartung</t>
  </si>
  <si>
    <t>Weitverbreiteter Einsatz von IoT und KI
verbessert die Verwaltung, die Energieeffizienz
und das Engagement der Bürger im städtischen Leben.</t>
  </si>
  <si>
    <t>Städte erreichen nahtlose IoT- und KI-Integration
Integration, Optimierung der Energie,
Infrastruktur und Immobilien
Verwaltung für die Bürger.</t>
  </si>
  <si>
    <t>Ungleiche Übernahme von intelligenten Technologien schafft erhebliche Ungleichheiten im städtischen Lebensweise und dem Zugang zu digitaler
Infrastruktur.</t>
  </si>
  <si>
    <t>Changing Urban Mobility</t>
  </si>
  <si>
    <t>Die Städte fußgängerfreundlichen Räumen, dem Radfahren und dem öffentlichen Nahverkehr Vorrang einräumen, konzentriert sich die Zukunft des städtischen Verkehrs zunehmend auf Nachhaltigkeit, Gerechtigkeit und Zugänglichkeit für alle.</t>
  </si>
  <si>
    <t>Mobilitätspräferenzen der Verbraucher
Mobilitätsdienstleistungen
Autofreie Stadtzentren
Vorstoß in Richtung E-Mobilität auf Stadtebene, Autonomer Verkehr
Regionale Verkehrsnetze
Städtische Luftmobilität
15-Minuten-Stadt-Konzepte</t>
  </si>
  <si>
    <t>Städte nehmen AVs und geteilte Systeme mäßig
gemeinsame Systeme, mit Fortschritten bei der
Nachhaltigkeit, aber anhaltende Herausforderungen bei
Gerechtigkeit.</t>
  </si>
  <si>
    <t>Städtische Mobilität wird von Big Tech gesteuert
Förderung der Nutzung von EVs, AVs und
Plattformen, wodurch Staus und
Emissionen.</t>
  </si>
  <si>
    <t>Urbane Mobilität gedeiht mit einer ausgewogenen
Nutzung von EVs, AVs und gemeinsam genutzten Plattformen,
die Staus und Emissionen reduzieren.</t>
  </si>
  <si>
    <t>Die Einführung von AV stagniert, die Infrastruktur Infrastruktur unterstützt eVTOLs nicht, und der Stadt-Land-Verkehr Transit bleibt unverbunden.</t>
  </si>
  <si>
    <t>ECONOMIC</t>
  </si>
  <si>
    <t>Urban Wealth Ineuqalities</t>
  </si>
  <si>
    <t>Die Ungleichheit des Wohlstands in den Städten prägt zunehmend die sozioökonomische Landschaft der Städte, angetrieben durch steigende Immobilienpreise, finanziellen Druck und ungleicher Zugang zu Ressourcen. Die wachsende Kluft zwischen wohlhabenden und marginalisierten Bevölkerungsgruppen in städtischen Gebieten unterstreicht den dringenden Bedarf an integrative Politiken und Lösungen für erschwinglichen Wohnraum.</t>
  </si>
  <si>
    <t>Bedarf an Sozialwohnungen
Steigende Immobilienpreise
Preismodelle für Mobilität
Erschwingliche urbane Nachhaltigkeit, Wachsende Kluft zwischen Arm und Reich
Inflation und wirtschaftliche Volatilität
Haushaltszwänge der Städte
Alternative Finanzierungsmethoden</t>
  </si>
  <si>
    <t>Städte machen schrittweise Fortschritte in Sachen Gerechtigkeit
durch gemischt genutzten Wohnraum und
demokratisierten Zugang zum Immobilienmarkt
Märkte</t>
  </si>
  <si>
    <t>Begrenzte Reformen scheitern an den rasant steigenden
Grundstückskosten, wodurch die
sozioökonomische Spaltung in städtischen Gebieten.</t>
  </si>
  <si>
    <t>Blockchain-basierte Immobilienmärkte
und Tokenisierung demokratisieren den Immobilien
Immobilieneigentum, was eine radikale
Umverteilung des städtischen Reichtums.</t>
  </si>
  <si>
    <t>Das Wohlstandsgefälle verschärft sich, die Gated
Gemeinden florieren, während marginalisierte
Bevölkerungsgruppen mit Wohnungsnot und Ressourcen
und Ressourcenknappheit konfrontiert sind.</t>
  </si>
  <si>
    <t>Emerging Urban Economies</t>
  </si>
  <si>
    <t>Aufstrebende urbane Volkswirtschaften verändern das traditionelle Stadtbild, indem sie sich alternative Wirtschaftsprinzipien wie die Kreislaufwirtschaft, die Sharing Economy und die digitale Wirtschaft zu eigen machen.</t>
  </si>
  <si>
    <t>Kreislaufwirtschaft
Neue Bezahlmethoden
Vertikale Landwirtschaft
Umweltfreundliche Materialien, Sharing Economy
Wachsender E-Commerce
Aufkommen von Plattform-Geschäftsmodellen
Regenerative städtische Ökonomien</t>
  </si>
  <si>
    <t>Kreislaufwirtschaft und plattformgesteuerte
Sharing ermöglichen moderate wirtschaftliche
Inklusivität und ökologischen Fortschritt
in städtischen Gebieten.</t>
  </si>
  <si>
    <t>Die aufstrebenden Volkswirtschaften bleiben
fragmentiert, mit begrenzter Integration
die zu Ineffizienzen und einer Vergrößerung
städtischen Disparitäten.</t>
  </si>
  <si>
    <t>Städte sind führend in der Kreislauf-, Sharing- und
digitalen Wirtschaft und erreichen
Nachhaltigkeit, Gerechtigkeit und Widerstandsfähigkeit.</t>
  </si>
  <si>
    <t>Die aufstrebenden Volkswirtschaften bleiben fragmentiert, mit begrenzter Integration die zu Ineffizienzen und einer Vergrößerung städtischen Disparitäten.</t>
  </si>
  <si>
    <t>ENVIRONMENTAL</t>
  </si>
  <si>
    <t>Urban Climate Resilience</t>
  </si>
  <si>
    <t>Die Widerstandsfähigkeit des städtischen Klimas wird zu einem wichtigen Thema für Städte auf der ganzen Welt, da sie mit zunehmenden Herausforderungen durch extreme Wetterbedingungen, Umweltverschmutzung und Ressourcenknappheit konfrontiert sind.</t>
  </si>
  <si>
    <t>Extreme Wetterereignisse
Steigender Meeresspiegel und Hochwasserrisiken
Resilienz in der Stadtplanung
Minderung der städtischen Hitze, Lokalisierte urbane Krisenreaktion
Klimaangepasste Architektur
Biodiversität und Wassermanagement
Überwachung von Klimadaten in Echtzeit</t>
  </si>
  <si>
    <t>Städte versuchen, sich an extreme Wetterereignisse
anzupassen, sind aber nicht in der Lage, ihre
Infrastruktur zu schützen, wenn das Klima hart zuschlägt.</t>
  </si>
  <si>
    <t>Städte ergreifen Maßnahmen zur
schrittweise Maßnahmen, mit
mäßigem Erfolg bei der Bewältigung von Klima
Herausforderungen und Ressourcenknappheit.</t>
  </si>
  <si>
    <t>Städte erreichen Netto-Null-Emissionen mit
erneuerbaren Energien, intelligenten Gebäuden und
Kreislaufwirtschaft, die nahtlos
in das städtische Leben integriert.</t>
  </si>
  <si>
    <t>Begrenzte Investitionen in die Resilienz
Infrastruktur führt zu erheblichen
Schäden und wirtschaftlicher Instabilität
bei extremen Wetterereignissen.</t>
  </si>
  <si>
    <t>Sustainable City Development</t>
  </si>
  <si>
    <t>Die nachhaltige Stadtentwicklung ist zu einem zentralen für städtische Gebiete, die ein Gleichgewicht zwischen wirtschaftlichem Wirtschaftswachstum mit Umweltschutz und langfristiger Lebensfähigkeit. Die Städte integrieren grüne Politiken, Abfallbewirtschaftungssysteme und erneuerbare Energiequellen in ihre Infrastruktur, um sicherzustellen
Nachhaltigkeit bei der Stadtplanung im Vordergrund
Planung steht.</t>
  </si>
  <si>
    <t>Nachhaltigkeitspolitiken
Intelligente Gebäude für Nachhaltigkeit
Luftverschmutzung
Kreislaufwirtschaft, Nachhaltige Energieerzeugung
Verstärkte Aufmerksamkeit für die öffentliche Gesundheit
15-Minuten-Stadtkonzepte
Grüne Stadtgestaltung</t>
  </si>
  <si>
    <t>Nachhaltigkeitsinitiativen sind in
isolierten Gebieten, während andere städtische
mit Umweltverschmutzung und ineffizienten
ineffizienten Praktiken kämpfen.</t>
  </si>
  <si>
    <t>Städtische Gebiete führen schrittweise nachhaltige
Systeme schrittweise ein und schaffen ein Gleichgewicht
Wachstum mit Umweltzielen in Einklang zu bringen, aber
mit anhaltenden Herausforderungen konfrontiert sind.</t>
  </si>
  <si>
    <t>Städtische Gebiete schaffen ein effektives Gleichgewicht zwischen grüner Infrastruktur und fortschrittliche Systeme um die Auswirkungen des Klimawandels zu mildern und die
Ressourcensicherheit.</t>
  </si>
  <si>
    <t>Schlechte Planung und fehlende Investitionen
in grüne Infrastruktur führen zu starker
Verschmutzung, Erschöpfung der Ressourcen und
unbewohnbaren Bedingungen.</t>
  </si>
  <si>
    <t>POLITICAL</t>
  </si>
  <si>
    <t>Digitalization and co-creation of city governance</t>
  </si>
  <si>
    <t xml:space="preserve">Die dezentralisierte digitale Stadtverwaltung verändert die Art und Weise, wie Städte verwaltet werden, indem Macht von zentralisierten Behörden zu partizipativen und kollaborative Modelle. Dieser Ansatz betont Inklusivität, Transparenz und Verantwortlichkeit Rechenschaftspflicht und ermöglicht es den Bürgern, eine aktive Rolle bei der Gestaltung der Politik und der Stadtentwicklung zu spielen. </t>
  </si>
  <si>
    <t>E-Government-Plattformen
Digitale Demokratie
Ko-Kreation durch den Bürger
Bürgerzentrierte Innovation, Intelligente Städte und Bezirke, Blockchain-gesteuerte urbane Ökonomien
Open-Data-Initiativen</t>
  </si>
  <si>
    <t>Die Städte übernehmen partizipative Modelle und
E-Government-Plattformen, die ein Gleichgewicht zwischen
Effizienz mit umfassender Bürgerbeteiligung
Engagement.</t>
  </si>
  <si>
    <t>Städte missbrauchen Technologie für
Überwachung und Kontrolle, unterdrücken
öffentliche Beiträge unterdrücken und Misstrauen schüren.</t>
  </si>
  <si>
    <t>Dezentrale Plattformen befähigen
Bürger zur Mitgestaltung der Politik und fördern
Gerechtigkeit, Transparenz und Vertrauen in die städtische
Verwaltung.</t>
  </si>
  <si>
    <t>Schlecht konzipierte Systeme behindern
Inklusivität und lassen marginalisierte Gruppen
ohne Mitspracherecht bei der Regierungsführung.</t>
  </si>
  <si>
    <t>Glocalization</t>
  </si>
  <si>
    <t>Die Stadtverwaltungen sind bestrebt, in einer VUCA-Welt bessere Lebensbedingungen für ihre Bürgerinnen und Bürger zu schaffen, wobei sie die eigenen städtischen Interessen in den Vordergrund stellen. Geopolitische Spannungen und territoriale Streitigkeiten wirken sich zunehmend auf die Entwicklung der Städte aus, belasten die regionale Zusammenarbeit und beeinflussen ihre Integration in globale Netzwerke. Während Städte um Talente, Ressourcen und Investitionen konkurrieren, bereiten sie sich auf künftige Instabilitäten vor, die durch regionale Konflikte, Streitigkeiten und den Klimawandel verursacht werden und die Infrastruktur und Wirtschaftstätigkeit beeinträchtigen können.</t>
  </si>
  <si>
    <t>Geopolitische Spannungen
Regionale Handelszonen
Städtische Diplomatie und Städtenetzwerke
Krieg um Talente, Städtisch-lokale Integration in der globalen Politik
Lokalisierte Energiesysteme
Lokalisierte Klima-Aktionspläne
Globale Lebensmittelsysteme</t>
  </si>
  <si>
    <t>Gemeinsame Vereinbarungen zwischen Städten
stärken die lokale Wirtschaft und
erhalten die Konnektivität in einer unbeständigen Welt.</t>
  </si>
  <si>
    <t>Städte entwickeln lokalisierte Systeme und
Beibehaltung begrenzter globaler Bindungen,
ein Gleichgewicht zwischen Stabilität und Integration.</t>
  </si>
  <si>
    <t>Städte erklären ihre Quasi-Unabhängigkeit,
werden zu autonomen Zentren mit
mit autarker Wirtschaft und minimaler
globalen Abhängigkeiten.</t>
  </si>
  <si>
    <t>Geopolitische Spannungen behindern die grenzüberschreitende
Zusammenarbeit und zwingen die Städte dazu
nur auf begrenzte lokale Ressourcen zurückgreifen.</t>
  </si>
  <si>
    <t>Dieses Szenario beschreibt eine Stadt im Jahr 2035, in der die Bürger*innen durch digitale Plattformen aktiv an der Gestaltung der Stadtpolitik beteiligt sind. Der Fokus liegt auf einer menschenzentrierten Gestaltung, inklusiven, nachhaltigen Mobilität und verbesserten öffentlichen Dienstleistungen, unterstützt durch KI und Technologie. Die Governance ist transparent, adaptiv und partizipativ, und es gibt starke öffentlich-private Partnerschaften. Obwohl die Stadt auf Kollaboration und Anpassungsfähigkeit basiert und erneuerbare Energien stark genutzt werden, kann die Priorisierung menschlicher Bedürfnisse gelegentlich zu Kompromissen bei Umweltzielen führen.</t>
  </si>
  <si>
    <t>In diesem Szenario im Jahr 2035 dominieren mächtige Unternehmen das Stadtleben und übernehmen Funktionen, die traditionell Regierungen innehatten. Wirtschaftliche Möglichkeiten und Lebensqualität hängen stark von der Kaufkraft ab, was zu wachsender Ungleichheit und sozialer Spaltung führt. Die Governance wird durch Unternehmenseinfluss geprägt, was die demokratische Beteiligung reduziert. Fortschritt und technologische Entwicklung kommen hauptsächlich denen zugute, die es sich leisten können, während ärmere Gemeinschaften sich auf informelle Netzwerke verlassen müssen und mit verfallender Infrastruktur und begrenzten Ressourcen konfrontiert sind.</t>
  </si>
  <si>
    <t>In diesem Szenario im Jahr 2035 wird die Stadt durch KI-gesteuerte Systeme regiert, die die ökologische Regeneration und Nachhaltigkeit priorisieren, auch wenn dies menschliche Interessen oder traditionelle demokratische Beteiligung einschränkt. Die Stadt funktioniert als Netto-Positiv-Ökosystem, mit starkem Fokus auf erneuerbare Energien, zirkuläre Wirtschaft und die Integration von Natur und Technologie. Das tägliche Leben der Bürger*innen wird stark von Nachhaltigkeitsbewertungen beeinflusst. Unternehmen agieren als Verwalter der Nachhaltigkeit.</t>
  </si>
  <si>
    <t>In diesem Szenario im Jahr 2035 ist die Stadt von chronischer Unterinvestition und schwacher Governance geprägt, was zu wirtschaftlichem und sozialem Niedergang führt. Unternehmen haben die Stadt weitgehend verlassen, während die verbleibende Bevölkerung, hauptsächlich ältere und einkommensschwache Bewohner*innen, zurückgelassen wird, da jüngere Generationen abwandern. Die öffentliche Infrastruktur zerfällt, und die Governance ist ineffektiv und korrupt, mit Kriminalität, die die entstehenden Machtvakuen füllt. Das tägliche Leben ist von Armut, Isolation, Verfall und Unsicherheit gekennzeichnet, wobei das Überleben im Vordergrund steht.</t>
  </si>
  <si>
    <t>Ingolstadt
Warum?
Unternehmensorientiert: Starker Fokus auf Audi und dessen Zuliefererstruktur.
Einfluss: Stadtentwicklung eng gekoppelt an die Strategie des Konzerns.
Wohlstandsgefälle: Hohes Pro-Kopf-Einkommen – aber stark abhängig vom wirtschaftlichen Erfolg eines einzigen Großarbeitgebers.
Schere: Prekarisierung durch Leiharbeit und Pendlerstrukturen.
Infrastruktur: Investitionen stark verkehrs- und autolastig; soziale Infrastruktur weniger präsent.</t>
  </si>
  <si>
    <r>
      <rPr>
        <b/>
        <sz val="11"/>
        <color theme="1"/>
        <rFont val="Aptos Narrow"/>
        <family val="2"/>
        <scheme val="minor"/>
      </rPr>
      <t>Hamburg</t>
    </r>
    <r>
      <rPr>
        <sz val="11"/>
        <color theme="1"/>
        <rFont val="Aptos Narrow"/>
        <family val="2"/>
        <scheme val="minor"/>
      </rPr>
      <t xml:space="preserve">
Warum?
Digitale Bürgerbeteiligung: Plattformen wie "Mitwirk-O-Mat" oder das "Transparenzportal" fördern digitale Mitgestaltung.
Bürgerzentrierte Stadtgestaltung: Projekte wie "Stromnetz Hamburg" werden partizipativ mit den Bürgern geplant.
Nachhaltige Mobilität: Ausbau des ÖPNV, viele Fahrradstraßen, Förderung von E-Mobilität.
KI: Innovationscluster wie ARIC (Artificial Intelligence Center Hamburg) stärken den KI-Sektor.
Transparente Regierung: Frühzeitiger Vorreiter für Open Data.
Mensch vor Natur: Fokus auf Lebensqualität in Quartiersentwicklung, z. B. HafenCity.</t>
    </r>
  </si>
  <si>
    <r>
      <rPr>
        <b/>
        <sz val="11"/>
        <color theme="1"/>
        <rFont val="Aptos Narrow"/>
        <family val="2"/>
        <scheme val="minor"/>
      </rPr>
      <t>München</t>
    </r>
    <r>
      <rPr>
        <sz val="11"/>
        <color theme="1"/>
        <rFont val="Aptos Narrow"/>
        <family val="2"/>
        <scheme val="minor"/>
      </rPr>
      <t xml:space="preserve">
Warum?
Digitale Bürgerbeteiligung: Plattformen wie „unser.muenchen.de“ für Ideen und Vorschläge.
Bürgerzentrierte Gestaltung: Projekte wie "Living Labs" in neuen Stadtquartieren.
Mobilität: Smarte Verkehrsleitsysteme, E-Busse, Ausbau autonomer Shuttle-Projekte.
KI: Exzellenzcluster an der LMU/TUM, Firmen wie Siemens treiben KI-Anwendungen voran.
Transparenz: Eigene Open Data-Plattform der Stadt.
Mensch vor Natur: Starke Balance zwischen Urbanisierung und hoher Lebensqualität (z. B. Isar-Renaturierung als stadtökologisches Projekt).</t>
    </r>
  </si>
  <si>
    <r>
      <rPr>
        <b/>
        <sz val="11"/>
        <color theme="1"/>
        <rFont val="Aptos Narrow"/>
        <family val="2"/>
        <scheme val="minor"/>
      </rPr>
      <t>Leipzig</t>
    </r>
    <r>
      <rPr>
        <sz val="11"/>
        <color theme="1"/>
        <rFont val="Aptos Narrow"/>
        <family val="2"/>
        <scheme val="minor"/>
      </rPr>
      <t xml:space="preserve">
Warum?
Digitale Bürgerbeteiligung: Plattform "Leipzig weiter denken".
Bürgerzentriert: Projekte wie „Zukunftsstadt Leipzig 2030“ setzen auf Ko-Kreation.
Mobilität: Förderung von Carsharing, ÖPNV-Ausbau, autofreie Innenstädte werden erprobt.
KI: Kooperation mit Fraunhofer-Instituten, Start-ups im Bereich Urban Data.
Transparenz: Bürgerhaushalt online, klare Kommunikation zu Stadtentwicklungsprojekten.
Mensch vor Natur: Starke Fokussierung auf soziale Integration, z. B. durch den Mix in Wohnprojekten.</t>
    </r>
  </si>
  <si>
    <r>
      <rPr>
        <b/>
        <sz val="11"/>
        <color theme="1"/>
        <rFont val="Aptos Narrow"/>
        <family val="2"/>
        <scheme val="minor"/>
      </rPr>
      <t>Freiburg im Breisgau</t>
    </r>
    <r>
      <rPr>
        <sz val="11"/>
        <color theme="1"/>
        <rFont val="Aptos Narrow"/>
        <family val="2"/>
        <scheme val="minor"/>
      </rPr>
      <t xml:space="preserve">
Warum?
Bürgerbeteiligung: Tradition in Bürgerforen (z. B. Quartiersräte).
Stadtgestaltung: Erfolgreiche Modellstadt für nachhaltige Stadtplanung (Vauban, Rieselfeld).
Nachhaltige Mobilität: Fahrradinfrastruktur vorbildlich, starke ÖPNV-Anbindung.
KI: Verbindung zu GreenTech-Innovationen und Smart City Data.
Transparenz: Offenlegung von Umwelt-, Verkehrs- und Haushaltsdaten.
Mensch vor Natur: Nachhaltigkeit, aber immer sozial gedacht – z. B. sozialer Wohnungsbau trotz ökologischer Standards.</t>
    </r>
  </si>
  <si>
    <r>
      <rPr>
        <b/>
        <sz val="11"/>
        <color theme="1"/>
        <rFont val="Aptos Narrow"/>
        <family val="2"/>
        <scheme val="minor"/>
      </rPr>
      <t>Darmstadt (Digitalstadt)</t>
    </r>
    <r>
      <rPr>
        <sz val="11"/>
        <color theme="1"/>
        <rFont val="Aptos Narrow"/>
        <family val="2"/>
        <scheme val="minor"/>
      </rPr>
      <t xml:space="preserve">
Warum?
Digitale Bürgerbeteiligung: Pionierstadt im Smart-City-Wettbewerb des BMI.
Bürgerzentrierung: Digitale Services mit Fokus auf Nutzerfreundlichkeit.
Mobilität: Echtzeitdaten im Nahverkehr, intelligente Ampelsteuerung.
KI: Sitz des "Hessian.AI"-Zentrums, Uni stark in KI-Forschung.
Transparenz: Stadtlabore und Reallabore mit Echtzeitdatenzugang für Bürger.
Mensch vor Natur: Technologiefokus, aber mit Fokus auf Lebensqualität und Inklusion.</t>
    </r>
  </si>
  <si>
    <r>
      <rPr>
        <b/>
        <sz val="11"/>
        <color theme="1"/>
        <rFont val="Aptos Narrow"/>
        <family val="2"/>
        <scheme val="minor"/>
      </rPr>
      <t>Frankfurt am Main</t>
    </r>
    <r>
      <rPr>
        <sz val="11"/>
        <color theme="1"/>
        <rFont val="Aptos Narrow"/>
        <family val="2"/>
        <scheme val="minor"/>
      </rPr>
      <t xml:space="preserve">
Warum?
Unternehmensorientiert: Finanzmetropole, Sitz vieler Großbanken (Deutsche Bank, EZB).
Einfluss auf Stadtplanung: Skyline und Quartiersentwicklung (z. B. Europaviertel) stark wirtschaftlich geprägt.
Einkommensgetriebene Lebensqualität: Enorme Mietpreise; hoher Wohlstand für Fachkräfte, gleichzeitig hoher Anteil an prekärer Beschäftigung.
Soziale Schere: Hohe Armutsquote trotz Wirtschaftsboom; soziale Entkopplung in Stadtteilen wie Gallus vs. Westend.
Infrastruktur: Verkehrsnetz oft überlastet, Wohnraumplanung hinkt hinterher – Neubau oft hochpreisig.
</t>
    </r>
  </si>
  <si>
    <r>
      <rPr>
        <b/>
        <sz val="11"/>
        <color theme="1"/>
        <rFont val="Aptos Narrow"/>
        <family val="2"/>
        <scheme val="minor"/>
      </rPr>
      <t>Stuttgart</t>
    </r>
    <r>
      <rPr>
        <sz val="11"/>
        <color theme="1"/>
        <rFont val="Aptos Narrow"/>
        <family val="2"/>
        <scheme val="minor"/>
      </rPr>
      <t xml:space="preserve">
Warum?
Unternehmensorientiert: Heimat von Daimler, Bosch, Porsche – starker industrieller Lobbyeinfluss.
Einfluss auf Stadtplanung: Großprojekte wie „Stuttgart 21“ wurden trotz Bürgerproteste durchgesetzt.
Wohlstand vs. Prekariat: Hohe Lebenshaltungskosten, stark einkommensabhängiger Zugang zu Wohnraum und Bildung.
Ungleichheit: Segregation sichtbar in Wohnverhältnissen; soziale Polarisierung.
Infrastruktur: Großprojekte binden Ressourcen; Nahverkehrsqualität und Wohnungsbau für Durchschnittsverdiener vernachlässigt.</t>
    </r>
  </si>
  <si>
    <r>
      <rPr>
        <b/>
        <sz val="11"/>
        <color theme="1"/>
        <rFont val="Aptos Narrow"/>
        <family val="2"/>
        <scheme val="minor"/>
      </rPr>
      <t>Berlin</t>
    </r>
    <r>
      <rPr>
        <sz val="11"/>
        <color theme="1"/>
        <rFont val="Aptos Narrow"/>
        <family val="2"/>
        <scheme val="minor"/>
      </rPr>
      <t xml:space="preserve">
Warum?
Unternehmensorientiert: In der Startup-Szene (z. B. AdTech, FinTech, Delivery) haben große Kapitalgeber enormen Einfluss.
Einfluss: Immobilienentwickler und Venture-Kapital prägen z. B. Friedrichshain-Kreuzberg, Mediaspree.
Einkommensbedingter Wohlstand: Für Geringverdienende kaum leistbarer Wohnraum, trotz starker kultureller Angebote.
Soziale Ungleichheit: Hohe Kinderarmut in Randbezirken vs. Gentrifizierung in innerstädtischen Bezirken.
Infrastruktur: Dauerbaustellen im ÖPNV, teils marode Schulen, Digitalisierungsrückstand bei Bürgerdiensten.</t>
    </r>
  </si>
  <si>
    <r>
      <rPr>
        <b/>
        <sz val="11"/>
        <color theme="1"/>
        <rFont val="Aptos Narrow"/>
        <family val="2"/>
        <scheme val="minor"/>
      </rPr>
      <t>Düsseldorf</t>
    </r>
    <r>
      <rPr>
        <sz val="11"/>
        <color theme="1"/>
        <rFont val="Aptos Narrow"/>
        <family val="2"/>
        <scheme val="minor"/>
      </rPr>
      <t xml:space="preserve">
Warum?
Unternehmensorientiert: Hauptsitz zahlreicher Großunternehmen (z. B. Henkel, Vodafone).
Stadtplanung durch Kapitalinteressen: Hochpreisige Wohnprojekte (z. B. MedienHafen) bestimmen Entwicklung.
Einkommensabhängiger Lebensstandard: Sehr hohe Mieten in den guten Lagen – Stadtteile wie Oberbilk oder Flingern werden zunehmend verdrängt.
Ungleichheit: Immer weniger bezahlbarer Wohnraum, stark divergente Lebensrealitäten.
Infrastruktur: Gute Hauptachsen, aber wenig Investitionen in günstige Mobilitätsformen oder soziale Infrastruktur.</t>
    </r>
  </si>
  <si>
    <r>
      <rPr>
        <b/>
        <sz val="11"/>
        <color theme="1"/>
        <rFont val="Aptos Narrow"/>
        <family val="2"/>
        <scheme val="minor"/>
      </rPr>
      <t>Heidelberg</t>
    </r>
    <r>
      <rPr>
        <sz val="11"/>
        <color theme="1"/>
        <rFont val="Aptos Narrow"/>
        <family val="2"/>
        <scheme val="minor"/>
      </rPr>
      <t xml:space="preserve">
Warum?
KI-Systeme: Einsatz intelligenter Sensorik im Quartier Bahnstadt (z. B. Müllentsorgung, Energie).
Öko-Stadtentwicklung: Bahnstadt gilt als eines der weltweit größten Passivhaus-Quartiere.
Natur vor Wachstum: Flächennutzungsplanung klar an Klimazielen orientiert.
Erneuerbare Energien: Eigene Stadtwerke treiben Solar und Fernwärme stark voran.
Wirtschaftsverantwortung: Firmen in Neubaubereichen müssen strenge Umweltstandards erfüllen.</t>
    </r>
  </si>
  <si>
    <r>
      <rPr>
        <b/>
        <sz val="11"/>
        <color theme="1"/>
        <rFont val="Aptos Narrow"/>
        <family val="2"/>
        <scheme val="minor"/>
      </rPr>
      <t>Freiburg im Breisgau</t>
    </r>
    <r>
      <rPr>
        <sz val="11"/>
        <color theme="1"/>
        <rFont val="Aptos Narrow"/>
        <family val="2"/>
        <scheme val="minor"/>
      </rPr>
      <t xml:space="preserve">
Warum?
KI-Systeme: Beteiligung an Forschungsprojekten zu Smart Grids, Energieeffizienz-Algorithmen.
Ökologie im Zentrum: Quartiere wie Vauban setzen auf Passivhäuser, grüne Mobilität, Bürgerautos.
Natur hat Vorrang: Strikte Baugrenzen, ökologische Ausgleichsflächen, wenig Versiegelung.
Erneuerbare Energien: Solardächer sind Standard, aktive Rolle bei regionaler Windkraft.
Unternehmensverantwortung: Stadt kooperiert gezielt mit nachhaltigen Firmen und Energiegenossenschaften.</t>
    </r>
  </si>
  <si>
    <r>
      <rPr>
        <b/>
        <sz val="11"/>
        <color theme="1"/>
        <rFont val="Aptos Narrow"/>
        <family val="2"/>
        <scheme val="minor"/>
      </rPr>
      <t>Kiel</t>
    </r>
    <r>
      <rPr>
        <sz val="11"/>
        <color theme="1"/>
        <rFont val="Aptos Narrow"/>
        <family val="2"/>
        <scheme val="minor"/>
      </rPr>
      <t xml:space="preserve">
Warum?
KI-Elemente: Einsatz in Hafenlogistik und Verkehrsdatenanalyse.
Nachhaltigkeit priorisiert: "Klimaneutrale Landeshauptstadt 2050" ist Masterziel.
Naturschutz im Zentrum: Küsten-, Moor- und Naturschutzflächen werden aktiv geschützt.
Erneuerbare: Windenergie an Land und auf See, Solarausbau in Kooperation mit Bürgern.
Unternehmenspflichten: Umweltauflagen in Gewerbegebieten, Förderung ökologischer Start-ups.</t>
    </r>
  </si>
  <si>
    <r>
      <rPr>
        <b/>
        <sz val="11"/>
        <color theme="1"/>
        <rFont val="Aptos Narrow"/>
        <family val="2"/>
        <scheme val="minor"/>
      </rPr>
      <t>Tübingen</t>
    </r>
    <r>
      <rPr>
        <sz val="11"/>
        <color theme="1"/>
        <rFont val="Aptos Narrow"/>
        <family val="2"/>
        <scheme val="minor"/>
      </rPr>
      <t xml:space="preserve">
Warum?
KI-Impulse: Uni und Max-Planck-Institute forschen an Umwelt-KI (z. B. Modellierung urbaner CO₂-Ströme).
Ökologie hat Vorrang: Umweltbürgermeister Boris Palmer (bis 2023) setzte früh harte Umweltziele durch.
Versiegelungsstopp: Neubauflächen auf innerstädtische Nachverdichtung fokussiert.
Erneuerbare Energien: Beteiligungsmodelle für Bürger an Windkraftprojekten.
Unternehmenspflichten: Klimataxe für nicht-klimakonforme Bauten, strikte Bebauungsauflagen.</t>
    </r>
  </si>
  <si>
    <r>
      <rPr>
        <b/>
        <sz val="11"/>
        <color theme="1"/>
        <rFont val="Aptos Narrow"/>
        <family val="2"/>
        <scheme val="minor"/>
      </rPr>
      <t>Osnabrück</t>
    </r>
    <r>
      <rPr>
        <sz val="11"/>
        <color theme="1"/>
        <rFont val="Aptos Narrow"/>
        <family val="2"/>
        <scheme val="minor"/>
      </rPr>
      <t xml:space="preserve">
Warum?
KI-Projekte: KI-gestützte Verkehrssteuerung und Energiemanagementsysteme.
Nachhaltigkeit im Leitbild: „Masterplan 100% Klimaschutz“ mit konsequenter Umsetzung.
Naturfreundlich: Grüne Achsen, renaturierte Bachläufe, neue Bauflächen werden streng geprüft.
Erneuerbare im Fokus: Bürgerenergieparks, Solaroffensive, Wärmenetze im Umbau.
Regulation von Unternehmen: Lokale Klimaschutzverträge verpflichten Gewerbe</t>
    </r>
  </si>
  <si>
    <r>
      <rPr>
        <b/>
        <sz val="11"/>
        <color theme="1"/>
        <rFont val="Aptos Narrow"/>
        <family val="2"/>
        <scheme val="minor"/>
      </rPr>
      <t>Gelsenkirchen (NRW)</t>
    </r>
    <r>
      <rPr>
        <sz val="11"/>
        <color theme="1"/>
        <rFont val="Aptos Narrow"/>
        <family val="2"/>
        <scheme val="minor"/>
      </rPr>
      <t xml:space="preserve">
Warum?
Leere Kassen: Hohe kommunale Verschuldung, kaum Spielraum für Investitionen.
Wirtschaftlich angespannt: Strukturwandel nach Kohlekrise nicht erfolgreich kompensiert.
Unternehmensabwanderung: Wenige neue Ansiedlungen, alte Industrie weggebrochen.
Abwanderung Jugend: Viele junge Menschen verlassen die Stadt wegen mangelnder Perspektiven.
Zurück bleiben Ältere: Überalterung, hohe Armutsquote.
Schlechte Infrastruktur: Veraltete Schulgebäude, Investitionsstau im ÖPNV und Wohnungsbestand.</t>
    </r>
  </si>
  <si>
    <r>
      <rPr>
        <b/>
        <sz val="11"/>
        <color theme="1"/>
        <rFont val="Aptos Narrow"/>
        <family val="2"/>
        <scheme val="minor"/>
      </rPr>
      <t>Salzgitter (Niedersachsen)</t>
    </r>
    <r>
      <rPr>
        <sz val="11"/>
        <color theme="1"/>
        <rFont val="Aptos Narrow"/>
        <family val="2"/>
        <scheme val="minor"/>
      </rPr>
      <t xml:space="preserve">
Warum?
Wenig Investitionspotenzial: Starke Abhängigkeit von Stahlindustrie (z. B. Salzgitter AG).
Sozial angespannt: Teils hohe Arbeitslosigkeit und Bildungsbenachteiligung.
Industriekrise: Rückgang traditioneller Großbetriebe, wenig neue Impulse.
Jugendabwanderung: Fachkräfte wandern in umliegende Großstädte wie Braunschweig oder Hannover ab.
Restbevölkerung: Weniger mobile, oft sozial schwächere Gruppen verbleiben.
</t>
    </r>
  </si>
  <si>
    <r>
      <rPr>
        <b/>
        <sz val="11"/>
        <color theme="1"/>
        <rFont val="Aptos Narrow"/>
        <family val="2"/>
        <scheme val="minor"/>
      </rPr>
      <t>Chemnitz (Sachsen)</t>
    </r>
    <r>
      <rPr>
        <sz val="11"/>
        <color theme="1"/>
        <rFont val="Aptos Narrow"/>
        <family val="2"/>
        <scheme val="minor"/>
      </rPr>
      <t xml:space="preserve">
Warum?
Leere Kassen: Lange Zeit chronisch unterfinanziert, hoher Sanierungsstau.
Wirtschaftlich fragil: Alte Industrietradition bricht weg, neue Cluster nur teilweise erfolgreich.
Abwanderung: Seit den 1990ern starker Rückgang junger Bevölkerung.
Demografische Schieflage: Hoher Altersdurchschnitt, soziale Spannungen.
Schwache Infrastruktur: Besonders in Randlagen schlechter Nahverkehr und Digitalisierung.</t>
    </r>
  </si>
  <si>
    <r>
      <rPr>
        <b/>
        <sz val="11"/>
        <color theme="1"/>
        <rFont val="Aptos Narrow"/>
        <family val="2"/>
        <scheme val="minor"/>
      </rPr>
      <t>Bremerhaven</t>
    </r>
    <r>
      <rPr>
        <sz val="11"/>
        <color theme="1"/>
        <rFont val="Aptos Narrow"/>
        <family val="2"/>
        <scheme val="minor"/>
      </rPr>
      <t xml:space="preserve">
Warum?
Wirtschaftsschwäche: Hafenkrise, Rückgang in Fisch- und Werftindustrie.
Wenig Investitionspotenzial: Hohe Sozialausgaben, wenig Steuereinnahmen.
Unternehmen ziehen ab: Wenig Anreize für Ansiedlung.
Junge ziehen weg: Richtung Bremen oder andere Städte mit besseren Bildungs- und Jobchancen.
Zurück bleiben Ärmere: Viele Menschen im SGB-II-Bezug.
Schwache Infrastruktur: ÖPNV-Netz brüchig, Digitalisierung schleppend, Wohnungsbestand oft sanierungsbedürftig.</t>
    </r>
  </si>
  <si>
    <r>
      <rPr>
        <b/>
        <sz val="11"/>
        <color theme="1"/>
        <rFont val="Aptos Narrow"/>
        <family val="2"/>
        <scheme val="minor"/>
      </rPr>
      <t>Pirmasens (Rheinland-Pfalz)</t>
    </r>
    <r>
      <rPr>
        <sz val="11"/>
        <color theme="1"/>
        <rFont val="Aptos Narrow"/>
        <family val="2"/>
        <scheme val="minor"/>
      </rPr>
      <t xml:space="preserve">
Warum?
Investitionsarm: Kaum Wirtschaftswachstum, leere Stadtkassen.
Sozial angespannt: Früheres Zentrum der Schuhindustrie – danach Strukturbruch.
Unternehmen abgewandert: Wenige große Arbeitgeber, viele Einzelkämpfer.
Jugendliche gehen: Hochschulstandort fehlt, geringe berufliche Perspektiven.
Alte bleiben: Demografischer Wandel massiv spürbar.
Infrastrukturmangel: Schwaches Verkehrsnetz, wenig kulturelle Angebote.</t>
    </r>
  </si>
  <si>
    <t>Rang</t>
  </si>
  <si>
    <t>Stadt</t>
  </si>
  <si>
    <t>Einwohnerzahl 2024</t>
  </si>
  <si>
    <t>Berlin</t>
  </si>
  <si>
    <t>3 685 265</t>
  </si>
  <si>
    <t>Hamburg</t>
  </si>
  <si>
    <t>1 862 565</t>
  </si>
  <si>
    <t>München</t>
  </si>
  <si>
    <t>1 505 005</t>
  </si>
  <si>
    <t>Köln</t>
  </si>
  <si>
    <t>1 024 621</t>
  </si>
  <si>
    <t>Frankfurt am Main</t>
  </si>
  <si>
    <t>756 021</t>
  </si>
  <si>
    <t>Düsseldorf</t>
  </si>
  <si>
    <t>618 685</t>
  </si>
  <si>
    <t>Stuttgart</t>
  </si>
  <si>
    <t>612 663</t>
  </si>
  <si>
    <t>Leipzig</t>
  </si>
  <si>
    <t>611 850</t>
  </si>
  <si>
    <t>Dortmund</t>
  </si>
  <si>
    <t>603 462</t>
  </si>
  <si>
    <t>Bremen</t>
  </si>
  <si>
    <t>586 271</t>
  </si>
  <si>
    <t>Essen</t>
  </si>
  <si>
    <t>574 682</t>
  </si>
  <si>
    <t>Dresden</t>
  </si>
  <si>
    <t>564 904</t>
  </si>
  <si>
    <t>Nürnberg</t>
  </si>
  <si>
    <t>529 508</t>
  </si>
  <si>
    <t>Hannover</t>
  </si>
  <si>
    <t>522 131</t>
  </si>
  <si>
    <t>Duisburg</t>
  </si>
  <si>
    <t>502 270</t>
  </si>
  <si>
    <t>Bochum</t>
  </si>
  <si>
    <t>358 676</t>
  </si>
  <si>
    <t>Wuppertal</t>
  </si>
  <si>
    <t>358 193</t>
  </si>
  <si>
    <t>Bielefeld</t>
  </si>
  <si>
    <t>331 605</t>
  </si>
  <si>
    <t>Bonn</t>
  </si>
  <si>
    <t>323 336</t>
  </si>
  <si>
    <t>Mannheim</t>
  </si>
  <si>
    <t>318 035</t>
  </si>
  <si>
    <t>Karlsruhe</t>
  </si>
  <si>
    <t>309 050</t>
  </si>
  <si>
    <t>Münster</t>
  </si>
  <si>
    <t>308 258</t>
  </si>
  <si>
    <t>Augsburg</t>
  </si>
  <si>
    <t>301 105</t>
  </si>
  <si>
    <t>Wiesbaden</t>
  </si>
  <si>
    <t>288 850</t>
  </si>
  <si>
    <t>Gelsenkirchen</t>
  </si>
  <si>
    <t>267 930</t>
  </si>
  <si>
    <t>Mönchengladbach</t>
  </si>
  <si>
    <t>267 213</t>
  </si>
  <si>
    <t>Aachen</t>
  </si>
  <si>
    <t>262 670</t>
  </si>
  <si>
    <t>Braunschweig</t>
  </si>
  <si>
    <t>252 962</t>
  </si>
  <si>
    <t>Kiel</t>
  </si>
  <si>
    <t>252 668</t>
  </si>
  <si>
    <t>Chemnitz</t>
  </si>
  <si>
    <t>245 618</t>
  </si>
  <si>
    <t>Magdeburg</t>
  </si>
  <si>
    <t>244 329</t>
  </si>
  <si>
    <t>Freiburg im Breisgau</t>
  </si>
  <si>
    <t>237 460</t>
  </si>
  <si>
    <t>Krefeld</t>
  </si>
  <si>
    <t>231 406</t>
  </si>
  <si>
    <t>Halle (Saale)</t>
  </si>
  <si>
    <t>226 767</t>
  </si>
  <si>
    <t>Mainz</t>
  </si>
  <si>
    <t>224 684</t>
  </si>
  <si>
    <t>Erfurt</t>
  </si>
  <si>
    <t>218 793</t>
  </si>
  <si>
    <t>Lübeck</t>
  </si>
  <si>
    <t>216 889</t>
  </si>
  <si>
    <t>Oberhausen</t>
  </si>
  <si>
    <t>213 646</t>
  </si>
  <si>
    <t>Rostock</t>
  </si>
  <si>
    <t>205 307</t>
  </si>
  <si>
    <t>Kassel</t>
  </si>
  <si>
    <t>197 230</t>
  </si>
  <si>
    <t>Hagen</t>
  </si>
  <si>
    <t>190 384</t>
  </si>
  <si>
    <t>Potsdam</t>
  </si>
  <si>
    <t>184 754</t>
  </si>
  <si>
    <t>Saarbrücken</t>
  </si>
  <si>
    <t>182 971</t>
  </si>
  <si>
    <t>Hamm</t>
  </si>
  <si>
    <t>179 968</t>
  </si>
  <si>
    <t>Oldenburg (Oldb)</t>
  </si>
  <si>
    <t>177 222</t>
  </si>
  <si>
    <t>Ludwigshafen am Rhein</t>
  </si>
  <si>
    <t>176 614</t>
  </si>
  <si>
    <t>Mülheim an der Ruhr</t>
  </si>
  <si>
    <t>173 050</t>
  </si>
  <si>
    <t>Leverkusen</t>
  </si>
  <si>
    <t>168 581</t>
  </si>
  <si>
    <t>Darmstadt</t>
  </si>
  <si>
    <t>167 029</t>
  </si>
  <si>
    <t>Osnabrück</t>
  </si>
  <si>
    <t>166 057</t>
  </si>
  <si>
    <t>Solingen</t>
  </si>
  <si>
    <t>165 626</t>
  </si>
  <si>
    <t>Paderborn</t>
  </si>
  <si>
    <t>156 378</t>
  </si>
  <si>
    <t>Herne</t>
  </si>
  <si>
    <t>155 851</t>
  </si>
  <si>
    <t>Heidelberg</t>
  </si>
  <si>
    <t>155 756</t>
  </si>
  <si>
    <t>Neuss</t>
  </si>
  <si>
    <t>154 317</t>
  </si>
  <si>
    <t>Regensburg</t>
  </si>
  <si>
    <t>151 389</t>
  </si>
  <si>
    <t>Ingolstadt</t>
  </si>
  <si>
    <t>141 185</t>
  </si>
  <si>
    <t>Pforzheim</t>
  </si>
  <si>
    <t>134 912</t>
  </si>
  <si>
    <t>Würzburg</t>
  </si>
  <si>
    <t>133 258</t>
  </si>
  <si>
    <t>Offenbach am Main</t>
  </si>
  <si>
    <t>132 746</t>
  </si>
  <si>
    <t>Fürth</t>
  </si>
  <si>
    <t>132 036</t>
  </si>
  <si>
    <t>Heilbronn</t>
  </si>
  <si>
    <t>131 986</t>
  </si>
  <si>
    <t>Ulm</t>
  </si>
  <si>
    <t>129 882</t>
  </si>
  <si>
    <t>Wolfsburg</t>
  </si>
  <si>
    <t>129 560</t>
  </si>
  <si>
    <t>Göttingen</t>
  </si>
  <si>
    <t>127 259</t>
  </si>
  <si>
    <t>Reutlingen</t>
  </si>
  <si>
    <t>118 852</t>
  </si>
  <si>
    <t>Bremerhaven</t>
  </si>
  <si>
    <t>118 610</t>
  </si>
  <si>
    <t>Bottrop</t>
  </si>
  <si>
    <t>118 535</t>
  </si>
  <si>
    <t>Erlangen</t>
  </si>
  <si>
    <t>115 928</t>
  </si>
  <si>
    <t>Recklinghausen</t>
  </si>
  <si>
    <t>115 344</t>
  </si>
  <si>
    <t>Remscheid</t>
  </si>
  <si>
    <t>113 828</t>
  </si>
  <si>
    <t>Koblenz</t>
  </si>
  <si>
    <t>113 378</t>
  </si>
  <si>
    <t>Bergisch Gladbach</t>
  </si>
  <si>
    <t>111 361</t>
  </si>
  <si>
    <t>Jena</t>
  </si>
  <si>
    <t>109 725</t>
  </si>
  <si>
    <t>Salzgitter</t>
  </si>
  <si>
    <t>104 970</t>
  </si>
  <si>
    <t>Trier</t>
  </si>
  <si>
    <t>104 342</t>
  </si>
  <si>
    <t>Siegen</t>
  </si>
  <si>
    <t>102 685</t>
  </si>
  <si>
    <t>Moers</t>
  </si>
  <si>
    <t>101 503</t>
  </si>
  <si>
    <t>Gütersloh</t>
  </si>
  <si>
    <t>100 479</t>
  </si>
  <si>
    <t>Kaiserslautern</t>
  </si>
  <si>
    <t>100 426</t>
  </si>
  <si>
    <t>Tübingen</t>
  </si>
  <si>
    <t>Extra</t>
  </si>
  <si>
    <t>Primasens</t>
  </si>
  <si>
    <t>Szenario 1</t>
  </si>
  <si>
    <t>Szenario 2</t>
  </si>
  <si>
    <t>Szenario 3</t>
  </si>
  <si>
    <t>Szenario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</si>
</sst>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8"/>
      <name val="Aptos Narrow"/>
      <family val="2"/>
      <scheme val="minor"/>
    </font>
  </fonts>
  <fills count="8">
    <fill>
      <patternFill patternType="none"/>
    </fill>
    <fill>
      <patternFill patternType="gray125"/>
    </fill>
    <fill>
      <patternFill patternType="solid">
        <fgColor theme="7"/>
        <bgColor indexed="64"/>
      </patternFill>
    </fill>
    <fill>
      <patternFill patternType="solid">
        <fgColor theme="9"/>
        <bgColor indexed="64"/>
      </patternFill>
    </fill>
    <fill>
      <patternFill patternType="solid">
        <fgColor theme="8"/>
        <bgColor indexed="64"/>
      </patternFill>
    </fill>
    <fill>
      <patternFill patternType="solid">
        <fgColor rgb="FFFFFF00"/>
        <bgColor indexed="64"/>
      </patternFill>
    </fill>
    <fill>
      <patternFill patternType="solid">
        <fgColor theme="5"/>
        <bgColor indexed="64"/>
      </patternFill>
    </fill>
    <fill>
      <patternFill patternType="solid">
        <fgColor theme="0"/>
        <bgColor indexed="64"/>
      </patternFill>
    </fill>
  </fills>
  <borders count="9">
    <border>
      <left/>
      <right/>
      <top/>
      <bottom/>
      <diagonal/>
    </border>
    <border>
      <left/>
      <right style="medium">
        <color indexed="64"/>
      </right>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5">
    <xf numFmtId="0" fontId="0" fillId="0" borderId="0" xfId="0"/>
    <xf numFmtId="0" fontId="0" fillId="0" borderId="0" xfId="0" applyAlignment="1">
      <alignment wrapText="1"/>
    </xf>
    <xf numFmtId="0" fontId="1" fillId="2" borderId="0" xfId="0" applyFont="1" applyFill="1"/>
    <xf numFmtId="0" fontId="0" fillId="2" borderId="0" xfId="0" applyFill="1"/>
    <xf numFmtId="0" fontId="1" fillId="3" borderId="0" xfId="0" applyFont="1" applyFill="1"/>
    <xf numFmtId="0" fontId="0" fillId="3" borderId="0" xfId="0" applyFill="1"/>
    <xf numFmtId="0" fontId="1" fillId="4" borderId="0" xfId="0" applyFont="1" applyFill="1"/>
    <xf numFmtId="0" fontId="0" fillId="4" borderId="0" xfId="0" applyFill="1"/>
    <xf numFmtId="0" fontId="1" fillId="5" borderId="0" xfId="0" applyFont="1" applyFill="1"/>
    <xf numFmtId="0" fontId="0" fillId="5" borderId="0" xfId="0" applyFill="1"/>
    <xf numFmtId="0" fontId="0" fillId="0" borderId="1" xfId="0" applyBorder="1"/>
    <xf numFmtId="0" fontId="0" fillId="0" borderId="1" xfId="0" applyBorder="1" applyAlignment="1">
      <alignment wrapText="1"/>
    </xf>
    <xf numFmtId="0" fontId="0" fillId="2" borderId="1" xfId="0" applyFill="1" applyBorder="1"/>
    <xf numFmtId="0" fontId="0" fillId="4" borderId="1" xfId="0" applyFill="1" applyBorder="1"/>
    <xf numFmtId="0" fontId="0" fillId="3" borderId="1" xfId="0" applyFill="1" applyBorder="1"/>
    <xf numFmtId="0" fontId="0" fillId="5" borderId="1" xfId="0" applyFill="1" applyBorder="1"/>
    <xf numFmtId="0" fontId="1" fillId="6" borderId="0" xfId="0" applyFont="1" applyFill="1"/>
    <xf numFmtId="0" fontId="1" fillId="6" borderId="1" xfId="0" applyFont="1" applyFill="1" applyBorder="1"/>
    <xf numFmtId="0" fontId="0" fillId="6" borderId="0" xfId="0" applyFill="1"/>
    <xf numFmtId="0" fontId="1" fillId="6" borderId="0" xfId="0" applyFont="1" applyFill="1" applyAlignment="1">
      <alignment horizontal="center"/>
    </xf>
    <xf numFmtId="0" fontId="1" fillId="7" borderId="0" xfId="0" applyFont="1" applyFill="1"/>
    <xf numFmtId="0" fontId="1" fillId="7" borderId="1" xfId="0" applyFont="1" applyFill="1" applyBorder="1"/>
    <xf numFmtId="0" fontId="0" fillId="7" borderId="0" xfId="0" applyFill="1"/>
    <xf numFmtId="0" fontId="1" fillId="0" borderId="0" xfId="0" applyFont="1" applyAlignment="1">
      <alignment horizontal="center" vertical="center" wrapText="1"/>
    </xf>
    <xf numFmtId="0" fontId="0" fillId="0" borderId="0" xfId="0" applyAlignment="1">
      <alignment vertical="center" wrapText="1"/>
    </xf>
    <xf numFmtId="0" fontId="0" fillId="5" borderId="0" xfId="0" applyFill="1" applyAlignment="1">
      <alignment vertical="center" wrapText="1"/>
    </xf>
    <xf numFmtId="3" fontId="0" fillId="0" borderId="0" xfId="0" applyNumberFormat="1"/>
    <xf numFmtId="0" fontId="1" fillId="7" borderId="5" xfId="0" applyFont="1" applyFill="1" applyBorder="1" applyAlignment="1">
      <alignment horizontal="center"/>
    </xf>
    <xf numFmtId="0" fontId="1" fillId="7" borderId="6" xfId="0" applyFont="1" applyFill="1" applyBorder="1" applyAlignment="1">
      <alignment horizontal="center"/>
    </xf>
    <xf numFmtId="0" fontId="0" fillId="7" borderId="7" xfId="0" applyFill="1" applyBorder="1" applyAlignment="1">
      <alignment horizontal="center" vertical="center" wrapText="1"/>
    </xf>
    <xf numFmtId="0" fontId="0" fillId="7" borderId="8" xfId="0" applyFill="1" applyBorder="1" applyAlignment="1">
      <alignment horizontal="center" vertical="center" wrapText="1"/>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0" fontId="0" fillId="7" borderId="0" xfId="0" applyFill="1" applyAlignment="1">
      <alignment horizontal="center" vertical="center" wrapText="1"/>
    </xf>
    <xf numFmtId="0" fontId="0" fillId="7" borderId="2" xfId="0" applyFill="1" applyBorder="1" applyAlignment="1">
      <alignment horizontal="center" vertical="center" wrapText="1"/>
    </xf>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zoomScale="70" zoomScaleNormal="70" workbookViewId="0">
      <pane xSplit="1" topLeftCell="B1" activePane="topRight" state="frozen"/>
      <selection pane="topRight" activeCell="B1" sqref="B1"/>
    </sheetView>
  </sheetViews>
  <sheetFormatPr baseColWidth="10" defaultColWidth="8.83203125" defaultRowHeight="14"/>
  <cols>
    <col min="1" max="1" width="53.33203125" customWidth="1"/>
    <col min="2" max="2" width="48.58203125" customWidth="1"/>
    <col min="3" max="3" width="43.08203125" style="10" customWidth="1"/>
    <col min="4" max="4" width="31.33203125" customWidth="1"/>
    <col min="5" max="5" width="32.5" customWidth="1"/>
    <col min="6" max="6" width="28.5" customWidth="1"/>
    <col min="7" max="7" width="33.33203125" customWidth="1"/>
  </cols>
  <sheetData>
    <row r="1" spans="1:7">
      <c r="A1" t="s">
        <v>0</v>
      </c>
    </row>
    <row r="2" spans="1:7" s="18" customFormat="1">
      <c r="A2" s="16" t="s">
        <v>1</v>
      </c>
      <c r="B2" s="16" t="s">
        <v>2</v>
      </c>
      <c r="C2" s="17" t="s">
        <v>3</v>
      </c>
      <c r="D2" s="16" t="s">
        <v>4</v>
      </c>
      <c r="E2" s="16" t="s">
        <v>5</v>
      </c>
      <c r="F2" s="16" t="s">
        <v>6</v>
      </c>
      <c r="G2" s="16" t="s">
        <v>7</v>
      </c>
    </row>
    <row r="3" spans="1:7" ht="98">
      <c r="A3" t="s">
        <v>8</v>
      </c>
      <c r="B3" s="1" t="s">
        <v>9</v>
      </c>
      <c r="C3" s="11" t="s">
        <v>10</v>
      </c>
      <c r="D3" s="1" t="s">
        <v>11</v>
      </c>
      <c r="E3" s="1" t="s">
        <v>12</v>
      </c>
      <c r="F3" s="1" t="s">
        <v>13</v>
      </c>
      <c r="G3" s="1" t="s">
        <v>14</v>
      </c>
    </row>
    <row r="4" spans="1:7" ht="98">
      <c r="A4" t="s">
        <v>15</v>
      </c>
      <c r="B4" s="1" t="s">
        <v>16</v>
      </c>
      <c r="C4" s="11" t="s">
        <v>17</v>
      </c>
      <c r="D4" s="1" t="s">
        <v>18</v>
      </c>
      <c r="E4" s="1" t="s">
        <v>19</v>
      </c>
      <c r="F4" s="1" t="s">
        <v>20</v>
      </c>
      <c r="G4" s="1" t="s">
        <v>21</v>
      </c>
    </row>
    <row r="5" spans="1:7" ht="112">
      <c r="A5" t="s">
        <v>22</v>
      </c>
      <c r="B5" s="1" t="s">
        <v>23</v>
      </c>
      <c r="C5" s="11" t="s">
        <v>24</v>
      </c>
      <c r="D5" s="1" t="s">
        <v>25</v>
      </c>
      <c r="E5" s="1" t="s">
        <v>25</v>
      </c>
      <c r="F5" s="1" t="s">
        <v>26</v>
      </c>
      <c r="G5" s="1" t="s">
        <v>27</v>
      </c>
    </row>
    <row r="7" spans="1:7" s="3" customFormat="1">
      <c r="A7" s="2" t="s">
        <v>28</v>
      </c>
      <c r="C7" s="12"/>
    </row>
    <row r="8" spans="1:7" ht="98">
      <c r="A8" t="s">
        <v>29</v>
      </c>
      <c r="B8" s="1" t="s">
        <v>30</v>
      </c>
      <c r="C8" s="11" t="s">
        <v>31</v>
      </c>
      <c r="D8" s="1" t="s">
        <v>32</v>
      </c>
      <c r="E8" s="1" t="s">
        <v>33</v>
      </c>
      <c r="F8" s="1" t="s">
        <v>32</v>
      </c>
      <c r="G8" s="1" t="s">
        <v>34</v>
      </c>
    </row>
    <row r="9" spans="1:7" ht="112">
      <c r="A9" t="s">
        <v>35</v>
      </c>
      <c r="B9" s="1" t="s">
        <v>36</v>
      </c>
      <c r="C9" s="11" t="s">
        <v>37</v>
      </c>
      <c r="D9" s="1" t="s">
        <v>38</v>
      </c>
      <c r="E9" s="1" t="s">
        <v>39</v>
      </c>
      <c r="F9" s="1" t="s">
        <v>40</v>
      </c>
      <c r="G9" s="1" t="s">
        <v>41</v>
      </c>
    </row>
    <row r="11" spans="1:7" s="7" customFormat="1">
      <c r="A11" s="6" t="s">
        <v>42</v>
      </c>
      <c r="C11" s="13"/>
    </row>
    <row r="12" spans="1:7" ht="112">
      <c r="A12" t="s">
        <v>43</v>
      </c>
      <c r="B12" s="1" t="s">
        <v>44</v>
      </c>
      <c r="C12" s="11" t="s">
        <v>45</v>
      </c>
      <c r="D12" s="1" t="s">
        <v>46</v>
      </c>
      <c r="E12" s="1" t="s">
        <v>47</v>
      </c>
      <c r="F12" s="1" t="s">
        <v>48</v>
      </c>
      <c r="G12" s="1" t="s">
        <v>49</v>
      </c>
    </row>
    <row r="13" spans="1:7" ht="98">
      <c r="A13" t="s">
        <v>50</v>
      </c>
      <c r="B13" s="1" t="s">
        <v>51</v>
      </c>
      <c r="C13" s="11" t="s">
        <v>52</v>
      </c>
      <c r="D13" s="1" t="s">
        <v>53</v>
      </c>
      <c r="E13" s="1" t="s">
        <v>54</v>
      </c>
      <c r="F13" s="1" t="s">
        <v>55</v>
      </c>
      <c r="G13" s="1" t="s">
        <v>56</v>
      </c>
    </row>
    <row r="15" spans="1:7" s="5" customFormat="1">
      <c r="A15" s="4" t="s">
        <v>57</v>
      </c>
      <c r="C15" s="14"/>
    </row>
    <row r="16" spans="1:7" ht="112">
      <c r="A16" t="s">
        <v>58</v>
      </c>
      <c r="B16" s="1" t="s">
        <v>59</v>
      </c>
      <c r="C16" s="11" t="s">
        <v>60</v>
      </c>
      <c r="D16" s="1" t="s">
        <v>61</v>
      </c>
      <c r="E16" s="1" t="s">
        <v>62</v>
      </c>
      <c r="F16" s="1" t="s">
        <v>63</v>
      </c>
      <c r="G16" s="1" t="s">
        <v>64</v>
      </c>
    </row>
    <row r="17" spans="1:7" ht="126">
      <c r="A17" t="s">
        <v>65</v>
      </c>
      <c r="B17" s="1" t="s">
        <v>66</v>
      </c>
      <c r="C17" s="11" t="s">
        <v>67</v>
      </c>
      <c r="D17" s="1" t="s">
        <v>68</v>
      </c>
      <c r="E17" s="1" t="s">
        <v>69</v>
      </c>
      <c r="F17" s="1" t="s">
        <v>70</v>
      </c>
      <c r="G17" s="1" t="s">
        <v>71</v>
      </c>
    </row>
    <row r="19" spans="1:7" s="9" customFormat="1">
      <c r="A19" s="8" t="s">
        <v>72</v>
      </c>
      <c r="C19" s="15"/>
    </row>
    <row r="20" spans="1:7" ht="98">
      <c r="A20" t="s">
        <v>73</v>
      </c>
      <c r="B20" s="1" t="s">
        <v>74</v>
      </c>
      <c r="C20" s="11" t="s">
        <v>75</v>
      </c>
      <c r="D20" s="1" t="s">
        <v>76</v>
      </c>
      <c r="E20" s="1" t="s">
        <v>77</v>
      </c>
      <c r="F20" s="1" t="s">
        <v>78</v>
      </c>
      <c r="G20" s="1" t="s">
        <v>79</v>
      </c>
    </row>
    <row r="21" spans="1:7" ht="182">
      <c r="A21" t="s">
        <v>80</v>
      </c>
      <c r="B21" s="1" t="s">
        <v>81</v>
      </c>
      <c r="C21" s="11" t="s">
        <v>82</v>
      </c>
      <c r="D21" s="1" t="s">
        <v>83</v>
      </c>
      <c r="E21" s="1" t="s">
        <v>84</v>
      </c>
      <c r="F21" s="1" t="s">
        <v>85</v>
      </c>
      <c r="G21" s="1" t="s">
        <v>86</v>
      </c>
    </row>
  </sheetData>
  <phoneticPr fontId="2" type="noConversion"/>
  <pageMargins left="0.70866141732283472" right="0.70866141732283472" top="0.74803149606299213" bottom="0.74803149606299213" header="0.31496062992125984" footer="0.31496062992125984"/>
  <pageSetup orientation="portrait" r:id="rId1"/>
  <headerFooter>
    <oddFooter>&amp;L_x000D_&amp;1#&amp;"Calibri"&amp;10&amp;K0000FF [Geschäftlich]</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73338-DB1F-460E-86EB-3A0CA8E38764}">
  <dimension ref="A1:K28"/>
  <sheetViews>
    <sheetView topLeftCell="A4" zoomScale="70" zoomScaleNormal="70" workbookViewId="0">
      <pane xSplit="1" topLeftCell="B1" activePane="topRight" state="frozen"/>
      <selection pane="topRight" activeCell="C4" sqref="C4"/>
    </sheetView>
  </sheetViews>
  <sheetFormatPr baseColWidth="10" defaultColWidth="8.83203125" defaultRowHeight="14" outlineLevelCol="1"/>
  <cols>
    <col min="1" max="1" width="53.33203125" customWidth="1"/>
    <col min="2" max="2" width="48.58203125" customWidth="1" outlineLevel="1"/>
    <col min="3" max="3" width="43.08203125" style="10" customWidth="1" outlineLevel="1"/>
    <col min="4" max="5" width="31.33203125" customWidth="1"/>
    <col min="6" max="7" width="32.5" customWidth="1"/>
    <col min="8" max="9" width="28.5" customWidth="1"/>
    <col min="10" max="11" width="33.33203125" customWidth="1"/>
  </cols>
  <sheetData>
    <row r="1" spans="1:11">
      <c r="A1" t="s">
        <v>0</v>
      </c>
    </row>
    <row r="2" spans="1:11" s="22" customFormat="1">
      <c r="A2" s="20"/>
      <c r="B2" s="20" t="s">
        <v>2</v>
      </c>
      <c r="C2" s="20" t="s">
        <v>3</v>
      </c>
      <c r="D2" s="27" t="s">
        <v>4</v>
      </c>
      <c r="E2" s="28"/>
      <c r="F2" s="27" t="s">
        <v>5</v>
      </c>
      <c r="G2" s="28"/>
      <c r="H2" s="27" t="s">
        <v>6</v>
      </c>
      <c r="I2" s="28"/>
      <c r="J2" s="27" t="s">
        <v>7</v>
      </c>
      <c r="K2" s="28"/>
    </row>
    <row r="3" spans="1:11" s="22" customFormat="1" ht="160.15" customHeight="1">
      <c r="A3" s="20"/>
      <c r="B3" s="20"/>
      <c r="C3" s="20"/>
      <c r="D3" s="29" t="s">
        <v>87</v>
      </c>
      <c r="E3" s="30"/>
      <c r="F3" s="29" t="s">
        <v>88</v>
      </c>
      <c r="G3" s="30"/>
      <c r="H3" s="29" t="s">
        <v>89</v>
      </c>
      <c r="I3" s="30"/>
      <c r="J3" s="29" t="s">
        <v>90</v>
      </c>
      <c r="K3" s="30"/>
    </row>
    <row r="4" spans="1:11" s="22" customFormat="1" ht="279.64999999999998" customHeight="1">
      <c r="A4" s="20"/>
      <c r="B4" s="20"/>
      <c r="C4" s="20"/>
      <c r="D4" s="31" t="s">
        <v>92</v>
      </c>
      <c r="E4" s="32"/>
      <c r="F4" s="31" t="s">
        <v>97</v>
      </c>
      <c r="G4" s="32"/>
      <c r="H4" s="31" t="s">
        <v>102</v>
      </c>
      <c r="I4" s="32"/>
      <c r="J4" s="31" t="s">
        <v>106</v>
      </c>
      <c r="K4" s="32"/>
    </row>
    <row r="5" spans="1:11" s="22" customFormat="1" ht="276" customHeight="1">
      <c r="A5" s="20"/>
      <c r="B5" s="20"/>
      <c r="C5" s="20"/>
      <c r="D5" s="31" t="s">
        <v>93</v>
      </c>
      <c r="E5" s="32"/>
      <c r="F5" s="33" t="s">
        <v>98</v>
      </c>
      <c r="G5" s="33"/>
      <c r="H5" s="31" t="s">
        <v>101</v>
      </c>
      <c r="I5" s="32"/>
      <c r="J5" s="31" t="s">
        <v>107</v>
      </c>
      <c r="K5" s="32"/>
    </row>
    <row r="6" spans="1:11" s="22" customFormat="1" ht="283.89999999999998" customHeight="1">
      <c r="A6" s="20"/>
      <c r="B6" s="20"/>
      <c r="C6" s="20"/>
      <c r="D6" s="31" t="s">
        <v>94</v>
      </c>
      <c r="E6" s="32"/>
      <c r="F6" s="31" t="s">
        <v>99</v>
      </c>
      <c r="G6" s="32"/>
      <c r="H6" s="31" t="s">
        <v>105</v>
      </c>
      <c r="I6" s="32"/>
      <c r="J6" s="31" t="s">
        <v>108</v>
      </c>
      <c r="K6" s="32"/>
    </row>
    <row r="7" spans="1:11" s="22" customFormat="1" ht="261.64999999999998" customHeight="1">
      <c r="A7" s="20"/>
      <c r="B7" s="20"/>
      <c r="C7" s="20"/>
      <c r="D7" s="31" t="s">
        <v>95</v>
      </c>
      <c r="E7" s="32"/>
      <c r="F7" s="31" t="s">
        <v>100</v>
      </c>
      <c r="G7" s="32"/>
      <c r="H7" s="31" t="s">
        <v>104</v>
      </c>
      <c r="I7" s="32"/>
      <c r="J7" s="31" t="s">
        <v>109</v>
      </c>
      <c r="K7" s="32"/>
    </row>
    <row r="8" spans="1:11" s="22" customFormat="1" ht="313.89999999999998" customHeight="1">
      <c r="A8" s="20"/>
      <c r="B8" s="20"/>
      <c r="C8" s="21"/>
      <c r="D8" s="34" t="s">
        <v>96</v>
      </c>
      <c r="E8" s="33"/>
      <c r="F8" s="34" t="s">
        <v>91</v>
      </c>
      <c r="G8" s="33"/>
      <c r="H8" s="34" t="s">
        <v>103</v>
      </c>
      <c r="I8" s="33"/>
      <c r="J8" s="31" t="s">
        <v>110</v>
      </c>
      <c r="K8" s="32"/>
    </row>
    <row r="9" spans="1:11" s="18" customFormat="1">
      <c r="A9" s="16" t="s">
        <v>1</v>
      </c>
      <c r="B9" s="16"/>
      <c r="C9" s="17"/>
      <c r="D9" s="19"/>
      <c r="E9" s="19"/>
      <c r="F9" s="19"/>
      <c r="G9" s="19"/>
      <c r="H9" s="19"/>
      <c r="I9" s="19"/>
      <c r="J9" s="19"/>
      <c r="K9" s="19"/>
    </row>
    <row r="10" spans="1:11" ht="98">
      <c r="A10" t="s">
        <v>8</v>
      </c>
      <c r="B10" s="1" t="s">
        <v>9</v>
      </c>
      <c r="C10" s="11" t="s">
        <v>10</v>
      </c>
      <c r="D10" s="1" t="s">
        <v>11</v>
      </c>
      <c r="E10" s="1"/>
      <c r="F10" s="1" t="s">
        <v>12</v>
      </c>
      <c r="G10" s="1"/>
      <c r="H10" s="1" t="s">
        <v>13</v>
      </c>
      <c r="I10" s="1"/>
      <c r="J10" s="1" t="s">
        <v>14</v>
      </c>
      <c r="K10" s="1"/>
    </row>
    <row r="11" spans="1:11" ht="98">
      <c r="A11" t="s">
        <v>15</v>
      </c>
      <c r="B11" s="1" t="s">
        <v>16</v>
      </c>
      <c r="C11" s="11" t="s">
        <v>17</v>
      </c>
      <c r="D11" s="1" t="s">
        <v>18</v>
      </c>
      <c r="E11" s="1"/>
      <c r="F11" s="1" t="s">
        <v>19</v>
      </c>
      <c r="G11" s="1"/>
      <c r="H11" s="1" t="s">
        <v>20</v>
      </c>
      <c r="I11" s="1"/>
      <c r="J11" s="1" t="s">
        <v>21</v>
      </c>
      <c r="K11" s="1"/>
    </row>
    <row r="12" spans="1:11" ht="112">
      <c r="A12" t="s">
        <v>22</v>
      </c>
      <c r="B12" s="1" t="s">
        <v>23</v>
      </c>
      <c r="C12" s="11" t="s">
        <v>24</v>
      </c>
      <c r="D12" s="1" t="s">
        <v>25</v>
      </c>
      <c r="E12" s="1"/>
      <c r="F12" s="1" t="s">
        <v>25</v>
      </c>
      <c r="G12" s="1"/>
      <c r="H12" s="1" t="s">
        <v>26</v>
      </c>
      <c r="I12" s="1"/>
      <c r="J12" s="1" t="s">
        <v>27</v>
      </c>
      <c r="K12" s="1"/>
    </row>
    <row r="14" spans="1:11" s="3" customFormat="1">
      <c r="A14" s="2" t="s">
        <v>28</v>
      </c>
      <c r="C14" s="12"/>
    </row>
    <row r="15" spans="1:11" ht="98">
      <c r="A15" t="s">
        <v>29</v>
      </c>
      <c r="B15" s="1" t="s">
        <v>30</v>
      </c>
      <c r="C15" s="11" t="s">
        <v>31</v>
      </c>
      <c r="D15" s="1" t="s">
        <v>32</v>
      </c>
      <c r="E15" s="1"/>
      <c r="F15" s="1" t="s">
        <v>33</v>
      </c>
      <c r="G15" s="1"/>
      <c r="H15" s="1" t="s">
        <v>32</v>
      </c>
      <c r="I15" s="1"/>
      <c r="J15" s="1" t="s">
        <v>34</v>
      </c>
      <c r="K15" s="1"/>
    </row>
    <row r="16" spans="1:11" ht="112">
      <c r="A16" t="s">
        <v>35</v>
      </c>
      <c r="B16" s="1" t="s">
        <v>36</v>
      </c>
      <c r="C16" s="11" t="s">
        <v>37</v>
      </c>
      <c r="D16" s="1" t="s">
        <v>38</v>
      </c>
      <c r="E16" s="1"/>
      <c r="F16" s="1" t="s">
        <v>39</v>
      </c>
      <c r="G16" s="1"/>
      <c r="H16" s="1" t="s">
        <v>40</v>
      </c>
      <c r="I16" s="1"/>
      <c r="J16" s="1" t="s">
        <v>41</v>
      </c>
      <c r="K16" s="1"/>
    </row>
    <row r="18" spans="1:11" s="7" customFormat="1">
      <c r="A18" s="6" t="s">
        <v>42</v>
      </c>
      <c r="C18" s="13"/>
    </row>
    <row r="19" spans="1:11" ht="112">
      <c r="A19" t="s">
        <v>43</v>
      </c>
      <c r="B19" s="1" t="s">
        <v>44</v>
      </c>
      <c r="C19" s="11" t="s">
        <v>45</v>
      </c>
      <c r="D19" s="1" t="s">
        <v>46</v>
      </c>
      <c r="E19" s="1"/>
      <c r="F19" s="1" t="s">
        <v>47</v>
      </c>
      <c r="G19" s="1"/>
      <c r="H19" s="1" t="s">
        <v>48</v>
      </c>
      <c r="I19" s="1"/>
      <c r="J19" s="1" t="s">
        <v>49</v>
      </c>
      <c r="K19" s="1"/>
    </row>
    <row r="20" spans="1:11" ht="98">
      <c r="A20" t="s">
        <v>50</v>
      </c>
      <c r="B20" s="1" t="s">
        <v>51</v>
      </c>
      <c r="C20" s="11" t="s">
        <v>52</v>
      </c>
      <c r="D20" s="1" t="s">
        <v>53</v>
      </c>
      <c r="E20" s="1"/>
      <c r="F20" s="1" t="s">
        <v>54</v>
      </c>
      <c r="G20" s="1"/>
      <c r="H20" s="1" t="s">
        <v>55</v>
      </c>
      <c r="I20" s="1"/>
      <c r="J20" s="1" t="s">
        <v>56</v>
      </c>
      <c r="K20" s="1"/>
    </row>
    <row r="22" spans="1:11" s="5" customFormat="1">
      <c r="A22" s="4" t="s">
        <v>57</v>
      </c>
      <c r="C22" s="14"/>
    </row>
    <row r="23" spans="1:11" ht="112">
      <c r="A23" t="s">
        <v>58</v>
      </c>
      <c r="B23" s="1" t="s">
        <v>59</v>
      </c>
      <c r="C23" s="11" t="s">
        <v>60</v>
      </c>
      <c r="D23" s="1" t="s">
        <v>61</v>
      </c>
      <c r="E23" s="1"/>
      <c r="F23" s="1" t="s">
        <v>62</v>
      </c>
      <c r="G23" s="1"/>
      <c r="H23" s="1" t="s">
        <v>63</v>
      </c>
      <c r="I23" s="1"/>
      <c r="J23" s="1" t="s">
        <v>64</v>
      </c>
      <c r="K23" s="1"/>
    </row>
    <row r="24" spans="1:11" ht="126">
      <c r="A24" t="s">
        <v>65</v>
      </c>
      <c r="B24" s="1" t="s">
        <v>66</v>
      </c>
      <c r="C24" s="11" t="s">
        <v>67</v>
      </c>
      <c r="D24" s="1" t="s">
        <v>68</v>
      </c>
      <c r="E24" s="1"/>
      <c r="F24" s="1" t="s">
        <v>69</v>
      </c>
      <c r="G24" s="1"/>
      <c r="H24" s="1" t="s">
        <v>70</v>
      </c>
      <c r="I24" s="1"/>
      <c r="J24" s="1" t="s">
        <v>71</v>
      </c>
      <c r="K24" s="1"/>
    </row>
    <row r="26" spans="1:11" s="9" customFormat="1">
      <c r="A26" s="8" t="s">
        <v>72</v>
      </c>
      <c r="C26" s="15"/>
    </row>
    <row r="27" spans="1:11" ht="98">
      <c r="A27" t="s">
        <v>73</v>
      </c>
      <c r="B27" s="1" t="s">
        <v>74</v>
      </c>
      <c r="C27" s="11" t="s">
        <v>75</v>
      </c>
      <c r="D27" s="1" t="s">
        <v>76</v>
      </c>
      <c r="E27" s="1"/>
      <c r="F27" s="1" t="s">
        <v>77</v>
      </c>
      <c r="G27" s="1"/>
      <c r="H27" s="1" t="s">
        <v>78</v>
      </c>
      <c r="I27" s="1"/>
      <c r="J27" s="1" t="s">
        <v>79</v>
      </c>
      <c r="K27" s="1"/>
    </row>
    <row r="28" spans="1:11" ht="182">
      <c r="A28" t="s">
        <v>80</v>
      </c>
      <c r="B28" s="1" t="s">
        <v>81</v>
      </c>
      <c r="C28" s="11" t="s">
        <v>82</v>
      </c>
      <c r="D28" s="1" t="s">
        <v>83</v>
      </c>
      <c r="E28" s="1"/>
      <c r="F28" s="1" t="s">
        <v>84</v>
      </c>
      <c r="G28" s="1"/>
      <c r="H28" s="1" t="s">
        <v>85</v>
      </c>
      <c r="I28" s="1"/>
      <c r="J28" s="1" t="s">
        <v>86</v>
      </c>
      <c r="K28" s="1"/>
    </row>
  </sheetData>
  <mergeCells count="28">
    <mergeCell ref="H6:I6"/>
    <mergeCell ref="H7:I7"/>
    <mergeCell ref="H8:I8"/>
    <mergeCell ref="J8:K8"/>
    <mergeCell ref="J7:K7"/>
    <mergeCell ref="J6:K6"/>
    <mergeCell ref="D7:E7"/>
    <mergeCell ref="D8:E8"/>
    <mergeCell ref="F8:G8"/>
    <mergeCell ref="F7:G7"/>
    <mergeCell ref="F6:G6"/>
    <mergeCell ref="D6:E6"/>
    <mergeCell ref="D4:E4"/>
    <mergeCell ref="F4:G4"/>
    <mergeCell ref="H4:I4"/>
    <mergeCell ref="J4:K4"/>
    <mergeCell ref="D5:E5"/>
    <mergeCell ref="H5:I5"/>
    <mergeCell ref="J5:K5"/>
    <mergeCell ref="F5:G5"/>
    <mergeCell ref="D2:E2"/>
    <mergeCell ref="F2:G2"/>
    <mergeCell ref="H2:I2"/>
    <mergeCell ref="J2:K2"/>
    <mergeCell ref="D3:E3"/>
    <mergeCell ref="F3:G3"/>
    <mergeCell ref="H3:I3"/>
    <mergeCell ref="J3:K3"/>
  </mergeCells>
  <pageMargins left="0.70866141732283472" right="0.70866141732283472" top="0.74803149606299213" bottom="0.74803149606299213" header="0.31496062992125984" footer="0.31496062992125984"/>
  <pageSetup orientation="portrait" r:id="rId1"/>
  <headerFooter>
    <oddFooter>&amp;L_x000D_&amp;1#&amp;"Calibri"&amp;10&amp;K0000FF [Geschäftlich]</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0152A-8F26-46AD-81C8-72FAADC6ED93}">
  <dimension ref="A2:I82"/>
  <sheetViews>
    <sheetView topLeftCell="A35" workbookViewId="0">
      <selection activeCell="I3" sqref="I3"/>
    </sheetView>
  </sheetViews>
  <sheetFormatPr baseColWidth="10" defaultRowHeight="14"/>
  <cols>
    <col min="2" max="2" width="17.75" customWidth="1"/>
    <col min="3" max="3" width="19.75" customWidth="1"/>
  </cols>
  <sheetData>
    <row r="2" spans="1:9">
      <c r="A2" s="23" t="s">
        <v>111</v>
      </c>
      <c r="B2" s="23" t="s">
        <v>112</v>
      </c>
      <c r="C2" s="23" t="s">
        <v>113</v>
      </c>
      <c r="E2" s="23" t="s">
        <v>275</v>
      </c>
    </row>
    <row r="3" spans="1:9">
      <c r="A3" s="24">
        <v>1</v>
      </c>
      <c r="B3" s="25" t="s">
        <v>114</v>
      </c>
      <c r="C3" s="24" t="s">
        <v>115</v>
      </c>
      <c r="E3" t="s">
        <v>274</v>
      </c>
      <c r="F3" s="26">
        <v>91504</v>
      </c>
      <c r="H3" t="s">
        <v>277</v>
      </c>
      <c r="I3">
        <f>(9*3)+2</f>
        <v>29</v>
      </c>
    </row>
    <row r="4" spans="1:9">
      <c r="A4" s="24">
        <v>2</v>
      </c>
      <c r="B4" s="25" t="s">
        <v>116</v>
      </c>
      <c r="C4" s="24" t="s">
        <v>117</v>
      </c>
      <c r="E4" t="s">
        <v>276</v>
      </c>
      <c r="F4" s="26">
        <v>40941</v>
      </c>
      <c r="H4" t="s">
        <v>278</v>
      </c>
      <c r="I4">
        <f>(5*3)+3</f>
        <v>18</v>
      </c>
    </row>
    <row r="5" spans="1:9">
      <c r="A5" s="24">
        <v>3</v>
      </c>
      <c r="B5" s="25" t="s">
        <v>118</v>
      </c>
      <c r="C5" s="24" t="s">
        <v>119</v>
      </c>
      <c r="H5" t="s">
        <v>279</v>
      </c>
      <c r="I5">
        <f>3+3</f>
        <v>6</v>
      </c>
    </row>
    <row r="6" spans="1:9">
      <c r="A6" s="24">
        <v>4</v>
      </c>
      <c r="B6" s="25" t="s">
        <v>120</v>
      </c>
      <c r="C6" s="24" t="s">
        <v>121</v>
      </c>
      <c r="H6" t="s">
        <v>280</v>
      </c>
      <c r="I6">
        <f>(13*2)+3</f>
        <v>29</v>
      </c>
    </row>
    <row r="7" spans="1:9">
      <c r="A7" s="24">
        <v>5</v>
      </c>
      <c r="B7" s="25" t="s">
        <v>122</v>
      </c>
      <c r="C7" s="24" t="s">
        <v>123</v>
      </c>
      <c r="I7">
        <f>SUM(I3:I6)</f>
        <v>82</v>
      </c>
    </row>
    <row r="8" spans="1:9">
      <c r="A8" s="24">
        <v>6</v>
      </c>
      <c r="B8" s="25" t="s">
        <v>124</v>
      </c>
      <c r="C8" s="24" t="s">
        <v>125</v>
      </c>
    </row>
    <row r="9" spans="1:9">
      <c r="A9" s="24">
        <v>7</v>
      </c>
      <c r="B9" s="25" t="s">
        <v>126</v>
      </c>
      <c r="C9" s="24" t="s">
        <v>127</v>
      </c>
    </row>
    <row r="10" spans="1:9">
      <c r="A10" s="24">
        <v>8</v>
      </c>
      <c r="B10" s="25" t="s">
        <v>128</v>
      </c>
      <c r="C10" s="24" t="s">
        <v>129</v>
      </c>
    </row>
    <row r="11" spans="1:9">
      <c r="A11" s="24">
        <v>9</v>
      </c>
      <c r="B11" s="25" t="s">
        <v>130</v>
      </c>
      <c r="C11" s="24" t="s">
        <v>131</v>
      </c>
    </row>
    <row r="12" spans="1:9">
      <c r="A12" s="24">
        <v>10</v>
      </c>
      <c r="B12" s="25" t="s">
        <v>132</v>
      </c>
      <c r="C12" s="24" t="s">
        <v>133</v>
      </c>
    </row>
    <row r="13" spans="1:9">
      <c r="A13" s="24">
        <v>11</v>
      </c>
      <c r="B13" s="25" t="s">
        <v>134</v>
      </c>
      <c r="C13" s="24" t="s">
        <v>135</v>
      </c>
    </row>
    <row r="14" spans="1:9">
      <c r="A14" s="24">
        <v>12</v>
      </c>
      <c r="B14" s="25" t="s">
        <v>136</v>
      </c>
      <c r="C14" s="24" t="s">
        <v>137</v>
      </c>
    </row>
    <row r="15" spans="1:9">
      <c r="A15" s="24">
        <v>13</v>
      </c>
      <c r="B15" s="25" t="s">
        <v>138</v>
      </c>
      <c r="C15" s="24" t="s">
        <v>139</v>
      </c>
    </row>
    <row r="16" spans="1:9">
      <c r="A16" s="24">
        <v>14</v>
      </c>
      <c r="B16" s="25" t="s">
        <v>140</v>
      </c>
      <c r="C16" s="24" t="s">
        <v>141</v>
      </c>
    </row>
    <row r="17" spans="1:3">
      <c r="A17" s="24">
        <v>15</v>
      </c>
      <c r="B17" s="25" t="s">
        <v>142</v>
      </c>
      <c r="C17" s="24" t="s">
        <v>143</v>
      </c>
    </row>
    <row r="18" spans="1:3">
      <c r="A18" s="24">
        <v>16</v>
      </c>
      <c r="B18" s="25" t="s">
        <v>144</v>
      </c>
      <c r="C18" s="24" t="s">
        <v>145</v>
      </c>
    </row>
    <row r="19" spans="1:3">
      <c r="A19" s="24">
        <v>17</v>
      </c>
      <c r="B19" s="25" t="s">
        <v>146</v>
      </c>
      <c r="C19" s="24" t="s">
        <v>147</v>
      </c>
    </row>
    <row r="20" spans="1:3">
      <c r="A20" s="24">
        <v>18</v>
      </c>
      <c r="B20" s="25" t="s">
        <v>148</v>
      </c>
      <c r="C20" s="24" t="s">
        <v>149</v>
      </c>
    </row>
    <row r="21" spans="1:3">
      <c r="A21" s="24">
        <v>19</v>
      </c>
      <c r="B21" s="25" t="s">
        <v>150</v>
      </c>
      <c r="C21" s="24" t="s">
        <v>151</v>
      </c>
    </row>
    <row r="22" spans="1:3">
      <c r="A22" s="24">
        <v>20</v>
      </c>
      <c r="B22" s="25" t="s">
        <v>152</v>
      </c>
      <c r="C22" s="24" t="s">
        <v>153</v>
      </c>
    </row>
    <row r="23" spans="1:3">
      <c r="A23" s="24">
        <v>21</v>
      </c>
      <c r="B23" s="25" t="s">
        <v>154</v>
      </c>
      <c r="C23" s="24" t="s">
        <v>155</v>
      </c>
    </row>
    <row r="24" spans="1:3">
      <c r="A24" s="24">
        <v>22</v>
      </c>
      <c r="B24" s="25" t="s">
        <v>156</v>
      </c>
      <c r="C24" s="24" t="s">
        <v>157</v>
      </c>
    </row>
    <row r="25" spans="1:3">
      <c r="A25" s="24">
        <v>23</v>
      </c>
      <c r="B25" s="25" t="s">
        <v>158</v>
      </c>
      <c r="C25" s="24" t="s">
        <v>159</v>
      </c>
    </row>
    <row r="26" spans="1:3">
      <c r="A26" s="24">
        <v>24</v>
      </c>
      <c r="B26" s="25" t="s">
        <v>160</v>
      </c>
      <c r="C26" s="24" t="s">
        <v>161</v>
      </c>
    </row>
    <row r="27" spans="1:3">
      <c r="A27" s="24">
        <v>25</v>
      </c>
      <c r="B27" s="25" t="s">
        <v>162</v>
      </c>
      <c r="C27" s="24" t="s">
        <v>163</v>
      </c>
    </row>
    <row r="28" spans="1:3">
      <c r="A28" s="24">
        <v>26</v>
      </c>
      <c r="B28" s="25" t="s">
        <v>164</v>
      </c>
      <c r="C28" s="24" t="s">
        <v>165</v>
      </c>
    </row>
    <row r="29" spans="1:3">
      <c r="A29" s="24">
        <v>27</v>
      </c>
      <c r="B29" s="25" t="s">
        <v>166</v>
      </c>
      <c r="C29" s="24" t="s">
        <v>167</v>
      </c>
    </row>
    <row r="30" spans="1:3">
      <c r="A30" s="24">
        <v>28</v>
      </c>
      <c r="B30" s="25" t="s">
        <v>168</v>
      </c>
      <c r="C30" s="24" t="s">
        <v>169</v>
      </c>
    </row>
    <row r="31" spans="1:3">
      <c r="A31" s="24">
        <v>29</v>
      </c>
      <c r="B31" s="25" t="s">
        <v>170</v>
      </c>
      <c r="C31" s="24" t="s">
        <v>171</v>
      </c>
    </row>
    <row r="32" spans="1:3">
      <c r="A32" s="24">
        <v>30</v>
      </c>
      <c r="B32" s="25" t="s">
        <v>172</v>
      </c>
      <c r="C32" s="24" t="s">
        <v>173</v>
      </c>
    </row>
    <row r="33" spans="1:3">
      <c r="A33" s="24">
        <v>31</v>
      </c>
      <c r="B33" s="25" t="s">
        <v>174</v>
      </c>
      <c r="C33" s="24" t="s">
        <v>175</v>
      </c>
    </row>
    <row r="34" spans="1:3">
      <c r="A34" s="24">
        <v>32</v>
      </c>
      <c r="B34" s="25" t="s">
        <v>176</v>
      </c>
      <c r="C34" s="24" t="s">
        <v>177</v>
      </c>
    </row>
    <row r="35" spans="1:3">
      <c r="A35" s="24">
        <v>33</v>
      </c>
      <c r="B35" s="25" t="s">
        <v>178</v>
      </c>
      <c r="C35" s="24" t="s">
        <v>179</v>
      </c>
    </row>
    <row r="36" spans="1:3">
      <c r="A36" s="24">
        <v>34</v>
      </c>
      <c r="B36" s="25" t="s">
        <v>180</v>
      </c>
      <c r="C36" s="24" t="s">
        <v>181</v>
      </c>
    </row>
    <row r="37" spans="1:3">
      <c r="A37" s="24">
        <v>35</v>
      </c>
      <c r="B37" s="25" t="s">
        <v>182</v>
      </c>
      <c r="C37" s="24" t="s">
        <v>183</v>
      </c>
    </row>
    <row r="38" spans="1:3">
      <c r="A38" s="24">
        <v>36</v>
      </c>
      <c r="B38" s="25" t="s">
        <v>184</v>
      </c>
      <c r="C38" s="24" t="s">
        <v>185</v>
      </c>
    </row>
    <row r="39" spans="1:3">
      <c r="A39" s="24">
        <v>37</v>
      </c>
      <c r="B39" s="25" t="s">
        <v>186</v>
      </c>
      <c r="C39" s="24" t="s">
        <v>187</v>
      </c>
    </row>
    <row r="40" spans="1:3">
      <c r="A40" s="24">
        <v>38</v>
      </c>
      <c r="B40" s="25" t="s">
        <v>188</v>
      </c>
      <c r="C40" s="24" t="s">
        <v>189</v>
      </c>
    </row>
    <row r="41" spans="1:3">
      <c r="A41" s="24">
        <v>39</v>
      </c>
      <c r="B41" s="25" t="s">
        <v>190</v>
      </c>
      <c r="C41" s="24" t="s">
        <v>191</v>
      </c>
    </row>
    <row r="42" spans="1:3">
      <c r="A42" s="24">
        <v>40</v>
      </c>
      <c r="B42" s="25" t="s">
        <v>192</v>
      </c>
      <c r="C42" s="24" t="s">
        <v>193</v>
      </c>
    </row>
    <row r="43" spans="1:3">
      <c r="A43" s="24">
        <v>41</v>
      </c>
      <c r="B43" s="25" t="s">
        <v>194</v>
      </c>
      <c r="C43" s="24" t="s">
        <v>195</v>
      </c>
    </row>
    <row r="44" spans="1:3">
      <c r="A44" s="24">
        <v>42</v>
      </c>
      <c r="B44" s="25" t="s">
        <v>196</v>
      </c>
      <c r="C44" s="24" t="s">
        <v>197</v>
      </c>
    </row>
    <row r="45" spans="1:3">
      <c r="A45" s="24">
        <v>43</v>
      </c>
      <c r="B45" s="25" t="s">
        <v>198</v>
      </c>
      <c r="C45" s="24" t="s">
        <v>199</v>
      </c>
    </row>
    <row r="46" spans="1:3">
      <c r="A46" s="24">
        <v>44</v>
      </c>
      <c r="B46" s="25" t="s">
        <v>200</v>
      </c>
      <c r="C46" s="24" t="s">
        <v>201</v>
      </c>
    </row>
    <row r="47" spans="1:3">
      <c r="A47" s="24">
        <v>45</v>
      </c>
      <c r="B47" s="25" t="s">
        <v>202</v>
      </c>
      <c r="C47" s="24" t="s">
        <v>203</v>
      </c>
    </row>
    <row r="48" spans="1:3" ht="28">
      <c r="A48" s="24">
        <v>46</v>
      </c>
      <c r="B48" s="25" t="s">
        <v>204</v>
      </c>
      <c r="C48" s="24" t="s">
        <v>205</v>
      </c>
    </row>
    <row r="49" spans="1:3">
      <c r="A49" s="24">
        <v>47</v>
      </c>
      <c r="B49" s="25" t="s">
        <v>206</v>
      </c>
      <c r="C49" s="24" t="s">
        <v>207</v>
      </c>
    </row>
    <row r="50" spans="1:3">
      <c r="A50" s="24">
        <v>48</v>
      </c>
      <c r="B50" s="25" t="s">
        <v>208</v>
      </c>
      <c r="C50" s="24" t="s">
        <v>209</v>
      </c>
    </row>
    <row r="51" spans="1:3">
      <c r="A51" s="24">
        <v>49</v>
      </c>
      <c r="B51" s="25" t="s">
        <v>210</v>
      </c>
      <c r="C51" s="24" t="s">
        <v>211</v>
      </c>
    </row>
    <row r="52" spans="1:3">
      <c r="A52" s="24">
        <v>50</v>
      </c>
      <c r="B52" s="25" t="s">
        <v>212</v>
      </c>
      <c r="C52" s="24" t="s">
        <v>213</v>
      </c>
    </row>
    <row r="53" spans="1:3">
      <c r="A53" s="24">
        <v>51</v>
      </c>
      <c r="B53" s="25" t="s">
        <v>214</v>
      </c>
      <c r="C53" s="24" t="s">
        <v>215</v>
      </c>
    </row>
    <row r="54" spans="1:3">
      <c r="A54" s="24">
        <v>52</v>
      </c>
      <c r="B54" s="25" t="s">
        <v>216</v>
      </c>
      <c r="C54" s="24" t="s">
        <v>217</v>
      </c>
    </row>
    <row r="55" spans="1:3">
      <c r="A55" s="24">
        <v>53</v>
      </c>
      <c r="B55" s="25" t="s">
        <v>218</v>
      </c>
      <c r="C55" s="24" t="s">
        <v>219</v>
      </c>
    </row>
    <row r="56" spans="1:3">
      <c r="A56" s="24">
        <v>54</v>
      </c>
      <c r="B56" s="25" t="s">
        <v>220</v>
      </c>
      <c r="C56" s="24" t="s">
        <v>221</v>
      </c>
    </row>
    <row r="57" spans="1:3">
      <c r="A57" s="24">
        <v>55</v>
      </c>
      <c r="B57" s="25" t="s">
        <v>222</v>
      </c>
      <c r="C57" s="24" t="s">
        <v>223</v>
      </c>
    </row>
    <row r="58" spans="1:3">
      <c r="A58" s="24">
        <v>56</v>
      </c>
      <c r="B58" s="25" t="s">
        <v>224</v>
      </c>
      <c r="C58" s="24" t="s">
        <v>225</v>
      </c>
    </row>
    <row r="59" spans="1:3">
      <c r="A59" s="24">
        <v>57</v>
      </c>
      <c r="B59" s="25" t="s">
        <v>226</v>
      </c>
      <c r="C59" s="24" t="s">
        <v>227</v>
      </c>
    </row>
    <row r="60" spans="1:3">
      <c r="A60" s="24">
        <v>58</v>
      </c>
      <c r="B60" s="25" t="s">
        <v>228</v>
      </c>
      <c r="C60" s="24" t="s">
        <v>229</v>
      </c>
    </row>
    <row r="61" spans="1:3">
      <c r="A61" s="24">
        <v>59</v>
      </c>
      <c r="B61" s="25" t="s">
        <v>230</v>
      </c>
      <c r="C61" s="24" t="s">
        <v>231</v>
      </c>
    </row>
    <row r="62" spans="1:3">
      <c r="A62" s="24">
        <v>60</v>
      </c>
      <c r="B62" s="25" t="s">
        <v>232</v>
      </c>
      <c r="C62" s="24" t="s">
        <v>233</v>
      </c>
    </row>
    <row r="63" spans="1:3">
      <c r="A63" s="24">
        <v>61</v>
      </c>
      <c r="B63" s="25" t="s">
        <v>234</v>
      </c>
      <c r="C63" s="24" t="s">
        <v>235</v>
      </c>
    </row>
    <row r="64" spans="1:3">
      <c r="A64" s="24">
        <v>62</v>
      </c>
      <c r="B64" s="25" t="s">
        <v>236</v>
      </c>
      <c r="C64" s="24" t="s">
        <v>237</v>
      </c>
    </row>
    <row r="65" spans="1:3">
      <c r="A65" s="24">
        <v>63</v>
      </c>
      <c r="B65" s="25" t="s">
        <v>238</v>
      </c>
      <c r="C65" s="24" t="s">
        <v>239</v>
      </c>
    </row>
    <row r="66" spans="1:3">
      <c r="A66" s="24">
        <v>64</v>
      </c>
      <c r="B66" s="25" t="s">
        <v>240</v>
      </c>
      <c r="C66" s="24" t="s">
        <v>241</v>
      </c>
    </row>
    <row r="67" spans="1:3">
      <c r="A67" s="24">
        <v>65</v>
      </c>
      <c r="B67" s="25" t="s">
        <v>242</v>
      </c>
      <c r="C67" s="24" t="s">
        <v>243</v>
      </c>
    </row>
    <row r="68" spans="1:3">
      <c r="A68" s="24">
        <v>66</v>
      </c>
      <c r="B68" s="25" t="s">
        <v>244</v>
      </c>
      <c r="C68" s="24" t="s">
        <v>245</v>
      </c>
    </row>
    <row r="69" spans="1:3">
      <c r="A69" s="24">
        <v>67</v>
      </c>
      <c r="B69" s="25" t="s">
        <v>246</v>
      </c>
      <c r="C69" s="24" t="s">
        <v>247</v>
      </c>
    </row>
    <row r="70" spans="1:3">
      <c r="A70" s="24">
        <v>68</v>
      </c>
      <c r="B70" s="25" t="s">
        <v>248</v>
      </c>
      <c r="C70" s="24" t="s">
        <v>249</v>
      </c>
    </row>
    <row r="71" spans="1:3">
      <c r="A71" s="24">
        <v>69</v>
      </c>
      <c r="B71" s="25" t="s">
        <v>250</v>
      </c>
      <c r="C71" s="24" t="s">
        <v>251</v>
      </c>
    </row>
    <row r="72" spans="1:3">
      <c r="A72" s="24">
        <v>70</v>
      </c>
      <c r="B72" s="25" t="s">
        <v>252</v>
      </c>
      <c r="C72" s="24" t="s">
        <v>253</v>
      </c>
    </row>
    <row r="73" spans="1:3">
      <c r="A73" s="24">
        <v>71</v>
      </c>
      <c r="B73" s="25" t="s">
        <v>254</v>
      </c>
      <c r="C73" s="24" t="s">
        <v>255</v>
      </c>
    </row>
    <row r="74" spans="1:3">
      <c r="A74" s="24">
        <v>72</v>
      </c>
      <c r="B74" s="25" t="s">
        <v>256</v>
      </c>
      <c r="C74" s="24" t="s">
        <v>257</v>
      </c>
    </row>
    <row r="75" spans="1:3">
      <c r="A75" s="24">
        <v>73</v>
      </c>
      <c r="B75" s="25" t="s">
        <v>258</v>
      </c>
      <c r="C75" s="24" t="s">
        <v>259</v>
      </c>
    </row>
    <row r="76" spans="1:3">
      <c r="A76" s="24">
        <v>74</v>
      </c>
      <c r="B76" s="25" t="s">
        <v>260</v>
      </c>
      <c r="C76" s="24" t="s">
        <v>261</v>
      </c>
    </row>
    <row r="77" spans="1:3">
      <c r="A77" s="24">
        <v>75</v>
      </c>
      <c r="B77" s="25" t="s">
        <v>262</v>
      </c>
      <c r="C77" s="24" t="s">
        <v>263</v>
      </c>
    </row>
    <row r="78" spans="1:3">
      <c r="A78" s="24">
        <v>76</v>
      </c>
      <c r="B78" s="25" t="s">
        <v>264</v>
      </c>
      <c r="C78" s="24" t="s">
        <v>265</v>
      </c>
    </row>
    <row r="79" spans="1:3">
      <c r="A79" s="24">
        <v>77</v>
      </c>
      <c r="B79" s="25" t="s">
        <v>266</v>
      </c>
      <c r="C79" s="24" t="s">
        <v>267</v>
      </c>
    </row>
    <row r="80" spans="1:3">
      <c r="A80" s="24">
        <v>78</v>
      </c>
      <c r="B80" s="25" t="s">
        <v>268</v>
      </c>
      <c r="C80" s="24" t="s">
        <v>269</v>
      </c>
    </row>
    <row r="81" spans="1:3">
      <c r="A81" s="24">
        <v>79</v>
      </c>
      <c r="B81" s="25" t="s">
        <v>270</v>
      </c>
      <c r="C81" s="24" t="s">
        <v>271</v>
      </c>
    </row>
    <row r="82" spans="1:3">
      <c r="A82" s="24">
        <v>80</v>
      </c>
      <c r="B82" s="25" t="s">
        <v>272</v>
      </c>
      <c r="C82" s="24" t="s">
        <v>273</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9770EDF13A6B42B0C8C76BDB86558E" ma:contentTypeVersion="17" ma:contentTypeDescription="Create a new document." ma:contentTypeScope="" ma:versionID="773b24ba046db65aae7524e7a09c21ad">
  <xsd:schema xmlns:xsd="http://www.w3.org/2001/XMLSchema" xmlns:xs="http://www.w3.org/2001/XMLSchema" xmlns:p="http://schemas.microsoft.com/office/2006/metadata/properties" xmlns:ns2="041ddfee-c06a-4636-9b1a-cd9a4ef51411" xmlns:ns3="ebb4792d-65b2-4498-acf7-5e7e88d7c643" targetNamespace="http://schemas.microsoft.com/office/2006/metadata/properties" ma:root="true" ma:fieldsID="e941e7720042e17cbad8d00f72ff05a1" ns2:_="" ns3:_="">
    <xsd:import namespace="041ddfee-c06a-4636-9b1a-cd9a4ef51411"/>
    <xsd:import namespace="ebb4792d-65b2-4498-acf7-5e7e88d7c64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1ddfee-c06a-4636-9b1a-cd9a4ef514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6b26008-8594-4243-b1c2-d6c994db9489"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b4792d-65b2-4498-acf7-5e7e88d7c64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e352afe-2895-4159-8c06-605df85f5588}" ma:internalName="TaxCatchAll" ma:showField="CatchAllData" ma:web="ebb4792d-65b2-4498-acf7-5e7e88d7c6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bb4792d-65b2-4498-acf7-5e7e88d7c643" xsi:nil="true"/>
    <lcf76f155ced4ddcb4097134ff3c332f xmlns="041ddfee-c06a-4636-9b1a-cd9a4ef5141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97BD203-24F3-43CC-B935-46A4FB1925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1ddfee-c06a-4636-9b1a-cd9a4ef51411"/>
    <ds:schemaRef ds:uri="ebb4792d-65b2-4498-acf7-5e7e88d7c6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971C29-BF60-4DA9-94D8-DE003CCA405F}">
  <ds:schemaRefs>
    <ds:schemaRef ds:uri="http://schemas.microsoft.com/sharepoint/v3/contenttype/forms"/>
  </ds:schemaRefs>
</ds:datastoreItem>
</file>

<file path=customXml/itemProps3.xml><?xml version="1.0" encoding="utf-8"?>
<ds:datastoreItem xmlns:ds="http://schemas.openxmlformats.org/officeDocument/2006/customXml" ds:itemID="{A59695C5-9045-4B99-98D8-B7F270199409}">
  <ds:schemaRefs>
    <ds:schemaRef ds:uri="http://schemas.microsoft.com/office/infopath/2007/PartnerControls"/>
    <ds:schemaRef ds:uri="http://schemas.microsoft.com/office/2006/documentManagement/types"/>
    <ds:schemaRef ds:uri="http://schemas.microsoft.com/office/2006/metadata/properties"/>
    <ds:schemaRef ds:uri="ebb4792d-65b2-4498-acf7-5e7e88d7c643"/>
    <ds:schemaRef ds:uri="http://purl.org/dc/dcmitype/"/>
    <ds:schemaRef ds:uri="http://purl.org/dc/terms/"/>
    <ds:schemaRef ds:uri="http://purl.org/dc/elements/1.1/"/>
    <ds:schemaRef ds:uri="041ddfee-c06a-4636-9b1a-cd9a4ef51411"/>
    <ds:schemaRef ds:uri="http://schemas.openxmlformats.org/package/2006/metadata/core-properties"/>
    <ds:schemaRef ds:uri="http://www.w3.org/XML/1998/namespace"/>
  </ds:schemaRefs>
</ds:datastoreItem>
</file>

<file path=docMetadata/LabelInfo.xml><?xml version="1.0" encoding="utf-8"?>
<clbl:labelList xmlns:clbl="http://schemas.microsoft.com/office/2020/mipLabelMetadata">
  <clbl:label id="{23fb2f0c-ffb5-4d5c-9394-daeb9b62dad3}" enabled="1" method="Standard" siteId="{8fbdeb20-138e-4339-ba6b-5fea1e6efb54}"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4</vt:i4>
      </vt:variant>
    </vt:vector>
  </HeadingPairs>
  <TitlesOfParts>
    <vt:vector size="7" baseType="lpstr">
      <vt:lpstr>Kriterien x Szenarien</vt:lpstr>
      <vt:lpstr>Szenarien x Städte</vt:lpstr>
      <vt:lpstr>EW ab 100k</vt:lpstr>
      <vt:lpstr>'Kriterien x Szenarien'!Druckbereich</vt:lpstr>
      <vt:lpstr>'Szenarien x Städte'!Druckbereich</vt:lpstr>
      <vt:lpstr>'Kriterien x Szenarien'!Drucktitel</vt:lpstr>
      <vt:lpstr>'Szenarien x Städte'!Drucktitel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Korte Florian</cp:lastModifiedBy>
  <cp:revision/>
  <dcterms:created xsi:type="dcterms:W3CDTF">2025-05-23T11:04:43Z</dcterms:created>
  <dcterms:modified xsi:type="dcterms:W3CDTF">2026-01-28T09:56:59Z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0x010100EB9770EDF13A6B42B0C8C76BDB86558E</vt:lpwstr>
  </property>
  <property fmtid="{D5CDD505-2E9C-101B-9397-08002B2CF9AE}" pid="3" name="MediaServiceImageTags">
    <vt:lpwstr/>
  </property>
</Properties>
</file>